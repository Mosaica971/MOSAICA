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Lisez-moi" sheetId="1" r:id="rId1"/>
    <sheet name="Synthèse" sheetId="2" r:id="rId2"/>
    <sheet name="Cultures" sheetId="3" r:id="rId3"/>
    <sheet name="Paramètres" sheetId="4" r:id="rId4"/>
    <sheet name="Autres données" sheetId="5" r:id="rId5"/>
  </sheets>
  <definedNames>
    <definedName name="_xlnm._FilterDatabase" localSheetId="4" hidden="1">'Autres données'!$A$4:$K$52</definedName>
    <definedName name="_xlnm._FilterDatabase" localSheetId="2" hidden="1">Cultures!$A$4:$BM$79</definedName>
    <definedName name="_xlnm._FilterDatabase" localSheetId="3" hidden="1">Paramètres!$A$4:$R$54</definedName>
  </definedNames>
  <calcPr calcId="124519" fullCalcOnLoad="1"/>
</workbook>
</file>

<file path=xl/comments1.xml><?xml version="1.0" encoding="utf-8"?>
<comments xmlns="http://schemas.openxmlformats.org/spreadsheetml/2006/main">
  <authors>
    <author/>
  </authors>
  <commentList>
    <comment ref="I4" authorId="0">
      <text>
        <r>
          <rPr>
            <sz val="8"/>
            <color indexed="81"/>
            <rFont val="Tahoma"/>
            <family val="2"/>
          </rPr>
          <t>Rendement potentiel local, que le modèle réduit selon les stress hydrique et azoté. À adapter au terrain (obligatoire).
Note : 1 si des essais ou références donnent un potentiel pour la plante, 0 sinon (mélanges, prairie).</t>
        </r>
      </text>
    </comment>
    <comment ref="J4" authorId="0">
      <text>
        <r>
          <rPr>
            <sz val="8"/>
            <color indexed="81"/>
            <rFont val="Tahoma"/>
            <family val="2"/>
          </rPr>
          <t>Rendement moyen, sert à la validation.
Note : 2 : présent, mais 1 à 4 fois le rendement du territoire (vigilance C.1).</t>
        </r>
      </text>
    </comment>
    <comment ref="K4" authorId="0">
      <text>
        <r>
          <rPr>
            <sz val="8"/>
            <color indexed="81"/>
            <rFont val="Tahoma"/>
            <family val="2"/>
          </rPr>
          <t>Rendement minimum, sert à la validation.
Note : 2 si une variance existe (minimum à en déduire), 1 sinon.</t>
        </r>
      </text>
    </comment>
    <comment ref="L4" authorId="0">
      <text>
        <r>
          <rPr>
            <sz val="8"/>
            <color indexed="81"/>
            <rFont val="Tahoma"/>
            <family val="2"/>
          </rPr>
          <t>Température de base des degrés-jours (un entier).
Note : 1 si un modèle de culture publié paramètre la plante, 0 sinon.</t>
        </r>
      </text>
    </comment>
    <comment ref="M4" authorId="0">
      <text>
        <r>
          <rPr>
            <sz val="8"/>
            <color indexed="81"/>
            <rFont val="Tahoma"/>
            <family val="2"/>
          </rPr>
          <t>Température maximale prise en compte dans les degrés-jours.
Note : Comme Tbase.</t>
        </r>
      </text>
    </comment>
    <comment ref="N4" authorId="0">
      <text>
        <r>
          <rPr>
            <sz val="8"/>
            <color indexed="81"/>
            <rFont val="Tahoma"/>
            <family val="2"/>
          </rPr>
          <t>Somme de degrés-jours à la levée.
Note : Comme Tbase. Pour une plantation (canne, banane) : reprise après plantation ou coupe, à définir avec l'équipe MAELIA.</t>
        </r>
      </text>
    </comment>
    <comment ref="O4" authorId="0">
      <text>
        <r>
          <rPr>
            <sz val="8"/>
            <color indexed="81"/>
            <rFont val="Tahoma"/>
            <family val="2"/>
          </rPr>
          <t>Somme de degrés-jours à la floraison (maximum du Kc).
Note : Comme Tbase. Sans objet agronomique strict pour la canne (récoltée avant floraison) : c'est la date du Kc maximal qu'il faut.</t>
        </r>
      </text>
    </comment>
    <comment ref="P4" authorId="0">
      <text>
        <r>
          <rPr>
            <sz val="8"/>
            <color indexed="81"/>
            <rFont val="Tahoma"/>
            <family val="2"/>
          </rPr>
          <t>Somme de degrés-jours à la maturité (Kc nul). La récolte n'est déclenchée qu'une fois cette somme atteinte.
Note : Comme Tbase. Fixe aussi la date de récolte : à caler sur la campagne réelle.</t>
        </r>
      </text>
    </comment>
    <comment ref="Q4" authorId="0">
      <text>
        <r>
          <rPr>
            <sz val="8"/>
            <color indexed="81"/>
            <rFont val="Tahoma"/>
            <family val="2"/>
          </rPr>
          <t>Frein hivernal au développement (1 = pas de frein).
Note : 3 : connue sans mesure (à confirmer : les supports parlent aussi de frein photopériodique).</t>
        </r>
      </text>
    </comment>
    <comment ref="R4" authorId="0">
      <text>
        <r>
          <rPr>
            <sz val="8"/>
            <color indexed="81"/>
            <rFont val="Tahoma"/>
            <family val="2"/>
          </rPr>
          <t>Coefficient cultural maximal.
Note : 1 : les tables FAO-56 donnent un Kc pour la plante ou une voisine.</t>
        </r>
      </text>
    </comment>
    <comment ref="S4" authorId="0">
      <text>
        <r>
          <rPr>
            <sz val="8"/>
            <color indexed="81"/>
            <rFont val="Tahoma"/>
            <family val="2"/>
          </rPr>
          <t>Vigueur : pente de montée du Kc.
Note : 0 : propre à AqYield, se cale sur une courbe de Kc ou de LAI.</t>
        </r>
      </text>
    </comment>
    <comment ref="T4" authorId="0">
      <text>
        <r>
          <rPr>
            <sz val="8"/>
            <color indexed="81"/>
            <rFont val="Tahoma"/>
            <family val="2"/>
          </rPr>
          <t>Effet de la fermeture stomatique sur le stress hydrique.
Note : 1 : vaut 1 pour toutes les espèces des jeux d'exemple MAELIA.</t>
        </r>
      </text>
    </comment>
    <comment ref="U4" authorId="0">
      <text>
        <r>
          <rPr>
            <sz val="8"/>
            <color indexed="81"/>
            <rFont val="Tahoma"/>
            <family val="2"/>
          </rPr>
          <t>Forme de la fonction de production : effet du stress hydrique sur le rendement.
Note : 1 si un coefficient de réponse à l'eau (Ky) est publié pour la plante, 0 sinon. Ky n'est pas le paramètre d'AqYield : point de départ seulement.</t>
        </r>
      </text>
    </comment>
    <comment ref="V4" authorId="0">
      <text>
        <r>
          <rPr>
            <sz val="8"/>
            <color indexed="81"/>
            <rFont val="Tahoma"/>
            <family val="2"/>
          </rPr>
          <t>Vitesse de croissance racinaire.
Note : 0 : propre à AqYield.</t>
        </r>
      </text>
    </comment>
    <comment ref="W4" authorId="0">
      <text>
        <r>
          <rPr>
            <sz val="8"/>
            <color indexed="81"/>
            <rFont val="Tahoma"/>
            <family val="2"/>
          </rPr>
          <t>Profondeur maximale d'enracinement.
Note : 2 : présente, commune à toutes les variantes d'une plante.</t>
        </r>
      </text>
    </comment>
    <comment ref="X4" authorId="0">
      <text>
        <r>
          <rPr>
            <sz val="8"/>
            <color indexed="81"/>
            <rFont val="Tahoma"/>
            <family val="2"/>
          </rPr>
          <t>Zones climatiques où l'espèce peut pousser.
Note : 2 : à traduire une fois les zones climatiques de la Guadeloupe définies.</t>
        </r>
      </text>
    </comment>
    <comment ref="Y4" authorId="0">
      <text>
        <r>
          <rPr>
            <sz val="8"/>
            <color indexed="81"/>
            <rFont val="Tahoma"/>
            <family val="2"/>
          </rPr>
          <t>Prairies : la trentaine de paramètres HerbSim (efficience du rayonnement, durée de vie des feuilles, digestibilité, dilution de l'azote…).
Note : 0 : aucune graminée tropicale (pangola, herbe de Guinée…) n'est paramétrée.</t>
        </r>
      </text>
    </comment>
    <comment ref="Z4" authorId="0">
      <text>
        <r>
          <rPr>
            <sz val="8"/>
            <color indexed="81"/>
            <rFont val="Tahoma"/>
            <family val="2"/>
          </rPr>
          <t>Besoin en azote par unité produite (ou BESOIN_Ntot, besoin total).
Note : 1 si les exportations d'azote de la plante sont publiées, 0 sinon.</t>
        </r>
      </text>
    </comment>
    <comment ref="AA4" authorId="0">
      <text>
        <r>
          <rPr>
            <sz val="8"/>
            <color indexed="81"/>
            <rFont val="Tahoma"/>
            <family val="2"/>
          </rPr>
          <t>Type d'acquisition de l'azote et forme de la demande (DEBUT_, FREIN_, PRE_FLO_, PRE_MAT_BESOIN_N ; coef_500Mat pour le type 500Mat).
Note : 0 : métamodèle propre à AqYield-N, à choisir avec le référent.</t>
        </r>
      </text>
    </comment>
    <comment ref="AB4" authorId="0">
      <text>
        <r>
          <rPr>
            <sz val="8"/>
            <color indexed="81"/>
            <rFont val="Tahoma"/>
            <family val="2"/>
          </rPr>
          <t>Courbe de dilution critique (et maximale) de l'azote, comme dans STICS.
Note : 1 : des courbes génériques sont publiées pour les plantes en C3 et en C4 (la canne est en C4), à défaut d'une courbe propre à l'espèce.</t>
        </r>
      </text>
    </comment>
    <comment ref="AC4" authorId="0">
      <text>
        <r>
          <rPr>
            <sz val="8"/>
            <color indexed="81"/>
            <rFont val="Tahoma"/>
            <family val="2"/>
          </rPr>
          <t>Teneur en azote du produit récolté.
Note : 2 si les protéines du produit sont dans Nutri_Cult, 1 sinon (tables de composition).</t>
        </r>
      </text>
    </comment>
    <comment ref="AD4" authorId="0">
      <text>
        <r>
          <rPr>
            <sz val="8"/>
            <color indexed="81"/>
            <rFont val="Tahoma"/>
            <family val="2"/>
          </rPr>
          <t>Teneur en matière sèche du produit récolté.
Note : 1 : dans les tables de composition.</t>
        </r>
      </text>
    </comment>
    <comment ref="AE4" authorId="0">
      <text>
        <r>
          <rPr>
            <sz val="8"/>
            <color indexed="81"/>
            <rFont val="Tahoma"/>
            <family val="2"/>
          </rPr>
          <t>Indice de récolte : produit / biomasse aérienne totale.
Note : 2 si BIOM_AER est renseignée (≠ 6, la valeur par défaut), 1 sinon.</t>
        </r>
      </text>
    </comment>
    <comment ref="AF4" authorId="0">
      <text>
        <r>
          <rPr>
            <sz val="8"/>
            <color indexed="81"/>
            <rFont val="Tahoma"/>
            <family val="2"/>
          </rPr>
          <t>Rapport parties aériennes / racines après récolte (ou RootC_fixed).
Note : 2 : proxy à convertir ; 1 si RAC vaut 0,1, la valeur mise quand elle est inconnue.</t>
        </r>
      </text>
    </comment>
    <comment ref="AG4" authorId="0">
      <text>
        <r>
          <rPr>
            <sz val="8"/>
            <color indexed="81"/>
            <rFont val="Tahoma"/>
            <family val="2"/>
          </rPr>
          <t>Répartition des racines en profondeur (Gale et Grigal 1987).
Note : 1 : valeurs tabulées par type de plante.</t>
        </r>
      </text>
    </comment>
    <comment ref="AH4" authorId="0">
      <text>
        <r>
          <rPr>
            <sz val="8"/>
            <color indexed="81"/>
            <rFont val="Tahoma"/>
            <family val="2"/>
          </rPr>
          <t>Teneur en carbone des résidus aériens et racinaires.
Note : 2 : une valeur, commune aux deux compartiments ; 1 si CARB vaut 0,4, la valeur mise quand elle est inconnue.</t>
        </r>
      </text>
    </comment>
    <comment ref="AI4" authorId="0">
      <text>
        <r>
          <rPr>
            <sz val="8"/>
            <color indexed="81"/>
            <rFont val="Tahoma"/>
            <family val="2"/>
          </rPr>
          <t>Rapport C/N des résidus de culture.
Note : 1 si la plante est une espèce unique, 0 pour les mélanges.</t>
        </r>
      </text>
    </comment>
    <comment ref="AJ4" authorId="0">
      <text>
        <r>
          <rPr>
            <sz val="8"/>
            <color indexed="81"/>
            <rFont val="Tahoma"/>
            <family val="2"/>
          </rPr>
          <t>Part des résidus aériens laissée au sol quand ils sont exportés.
Note : 1 : à dire d'expert.</t>
        </r>
      </text>
    </comment>
    <comment ref="AK4" authorId="0">
      <text>
        <r>
          <rPr>
            <sz val="8"/>
            <color indexed="81"/>
            <rFont val="Tahoma"/>
            <family val="2"/>
          </rPr>
          <t>Chute des parties aériennes avant récolte.
Note : 1 : 0 par défaut, à valider par plante.</t>
        </r>
      </text>
    </comment>
    <comment ref="AL4" authorId="0">
      <text>
        <r>
          <rPr>
            <sz val="8"/>
            <color indexed="81"/>
            <rFont val="Tahoma"/>
            <family val="2"/>
          </rPr>
          <t>Légumineuse fixatrice.
Note : 3.</t>
        </r>
      </text>
    </comment>
    <comment ref="AM4" authorId="0">
      <text>
        <r>
          <rPr>
            <sz val="8"/>
            <color indexed="81"/>
            <rFont val="Tahoma"/>
            <family val="2"/>
          </rPr>
          <t>Couvert qui simule la repousse après récolte.
Note : 0 pour la canne : c'est peut-être le mécanisme des repousses, à confirmer. Sans objet ailleurs.</t>
        </r>
      </text>
    </comment>
    <comment ref="AN4" authorId="0">
      <text>
        <r>
          <rPr>
            <sz val="8"/>
            <color indexed="81"/>
            <rFont val="Tahoma"/>
            <family val="2"/>
          </rPr>
          <t>Précédent cultural (critère de spatialisation).
Note : 2 : connu au niveau des 12 groupes RPG, pas de la culture fine. La jachère (« gel ») doit figurer parmi les précédents des ITK qui la suivent.</t>
        </r>
      </text>
    </comment>
    <comment ref="AO4" authorId="0">
      <text>
        <r>
          <rPr>
            <sz val="8"/>
            <color indexed="81"/>
            <rFont val="Tahoma"/>
            <family val="2"/>
          </rPr>
          <t>Sol, type d'exploitation, zone climatique et séquence de référence (IDS_SDCS, face à ID_SDC de parcelles.shp) auxquels l'ITK s'applique ; en 1.4.31 aussi un critère libre, CRIT_SPAT_ADHOC.
Note : 2 : les règles existent, à réécrire en critères MAELIA.</t>
        </r>
      </text>
    </comment>
    <comment ref="AP4" authorId="0">
      <text>
        <r>
          <rPr>
            <sz val="8"/>
            <color indexed="81"/>
            <rFont val="Tahoma"/>
            <family val="2"/>
          </rPr>
          <t>Matériel d'irrigation.
Note : 1 pour les ITK irrigués (dire d'expert), sans objet sinon.</t>
        </r>
      </text>
    </comment>
    <comment ref="AQ4" authorId="0">
      <text>
        <r>
          <rPr>
            <sz val="8"/>
            <color indexed="81"/>
            <rFont val="Tahoma"/>
            <family val="2"/>
          </rPr>
          <t>Quelles opérations techniques existent : TRAVAIL_SOL (ex-PREPA et REPRISE), SEMIS, DESHERBAGE_MECA (ex-BINAGE), FERTI, PHYTO, IRRIGATION, RECOLTE ; FAUCHE et PATURE pour les prairies.
Note : 3 si toutes les opérations ont un type MAELIA, 2 si au moins la moitié, 1 si quelques-unes, 0 si aucune. Voir aussi la colonne Dépassements.</t>
        </r>
      </text>
    </comment>
    <comment ref="AR4" authorId="0">
      <text>
        <r>
          <rPr>
            <sz val="8"/>
            <color indexed="81"/>
            <rFont val="Tahoma"/>
            <family val="2"/>
          </rPr>
          <t>Débit de chantier de chaque opération (l'application ITK le demande en h/ha, le fichier le porte en ha/h).
Note : Selon la part des heures portée par des opérations sans type MAELIA (effeuillage, tuteurage, emballage, soins aux animaux…) : 3 sous 10 %, 2 sous 50 %, 1 au-delà.</t>
        </r>
      </text>
    </comment>
    <comment ref="AS4" authorId="0">
      <text>
        <r>
          <rPr>
            <sz val="8"/>
            <color indexed="81"/>
            <rFont val="Tahoma"/>
            <family val="2"/>
          </rPr>
          <t>Fenêtres calendaires de chaque opération (1 à 3 sous-périodes, jours juliens). La récolte attend en plus la maturité.
Note : 1 si la culture a une campagne datée connue des fiches techniques, 0 si elle est conduite en continu (banane, plantain, maraîchage, prairie).</t>
        </r>
      </text>
    </comment>
    <comment ref="AT4" authorId="0">
      <text>
        <r>
          <rPr>
            <sz val="8"/>
            <color indexed="81"/>
            <rFont val="Tahoma"/>
            <family val="2"/>
          </rPr>
          <t>Humidité du sol, cumul de pluie, P-ETP, température, stade (ECHV) qui autorisent l'opération.
Note : 0 : enquête auprès d'experts. Un ITK tourne sans (NA), mais il est alors aveugle à la météo, ce qui retire l'intérêt du pas de temps journalier.</t>
        </r>
      </text>
    </comment>
    <comment ref="AU4" authorId="0">
      <text>
        <r>
          <rPr>
            <sz val="8"/>
            <color indexed="81"/>
            <rFont val="Tahoma"/>
            <family val="2"/>
          </rPr>
          <t>Profondeur de travail du sol (ex-PREPA et REPRISE).
Note : 2 si PROF_SILLONS est renseignée, 1 sinon ; sans objet sans travail du sol.</t>
        </r>
      </text>
    </comment>
    <comment ref="AV4" authorId="0">
      <text>
        <r>
          <rPr>
            <sz val="8"/>
            <color indexed="81"/>
            <rFont val="Tahoma"/>
            <family val="2"/>
          </rPr>
          <t>Dose par tour d'eau et délai de retour.
Note : 2 si opérations et besoin, 1 si l'un des deux seulement, sans objet si ni l'un ni l'autre.</t>
        </r>
      </text>
    </comment>
    <comment ref="AW4" authorId="0">
      <text>
        <r>
          <rPr>
            <sz val="8"/>
            <color indexed="81"/>
            <rFont val="Tahoma"/>
            <family val="2"/>
          </rPr>
          <t>Période d'irrigation, stades de début et de fin, pluie qui annule ou reporte un tour.
Note : 0 pour les cultures irriguées, sans objet sinon.</t>
        </r>
      </text>
    </comment>
    <comment ref="AX4" authorId="0">
      <text>
        <r>
          <rPr>
            <sz val="8"/>
            <color indexed="81"/>
            <rFont val="Tahoma"/>
            <family val="2"/>
          </rPr>
          <t>Traitements phytosanitaires.
Note : 3 si l'ITK compte des traitements, sans objet sinon.</t>
        </r>
      </text>
    </comment>
    <comment ref="AY4" authorId="0">
      <text>
        <r>
          <rPr>
            <sz val="8"/>
            <color indexed="81"/>
            <rFont val="Tahoma"/>
            <family val="2"/>
          </rPr>
          <t>Prairies : FAUCHE (hauteur de coupe, hauteur ou biomasse minimale) et PATURE (dates, temps de repos, part d'herbe accessible, hauteurs d'herbe à l'entrée et à la sortie), TYPE_GESTION_PRAIRIE.
Note : 0. Le pâturage demande en plus les lots d'animaux (feuille Autres données).</t>
        </r>
      </text>
    </comment>
    <comment ref="AZ4" authorId="0">
      <text>
        <r>
          <rPr>
            <sz val="8"/>
            <color indexed="81"/>
            <rFont val="Tahoma"/>
            <family val="2"/>
          </rPr>
          <t>Produits et doses par apport (4 apports au plus par stratégie).
Note : 3 si l'ITK fertilise, sans objet sinon.</t>
        </r>
      </text>
    </comment>
    <comment ref="BA4" authorId="0">
      <text>
        <r>
          <rPr>
            <sz val="8"/>
            <color indexed="81"/>
            <rFont val="Tahoma"/>
            <family val="2"/>
          </rPr>
          <t>Dates des apports, fractionnement, stratégies de repli selon le stock d'engrais.
Note : 1 si le fractionnement est décrit dans les fiches techniques de la plante, 0 sinon ; sans objet sans fertilisation.</t>
        </r>
      </text>
    </comment>
    <comment ref="BB4" authorId="0">
      <text>
        <r>
          <rPr>
            <sz val="8"/>
            <color indexed="81"/>
            <rFont val="Tahoma"/>
            <family val="2"/>
          </rPr>
          <t>Prix de vente par espèce et par an.
Note : 2 si un prix existe : 2017 seulement, les colonnes 2018-2022 en sont des copies. 1 sinon (canne fibre : prix nul).</t>
        </r>
      </text>
    </comment>
    <comment ref="BC4" authorId="0">
      <text>
        <r>
          <rPr>
            <sz val="8"/>
            <color indexed="81"/>
            <rFont val="Tahoma"/>
            <family val="2"/>
          </rPr>
          <t>Aides couplées par espèce et par département.
Note : 2 : les aides à la tonne sont à convertir en €/ha avec un rendement.</t>
        </r>
      </text>
    </comment>
    <comment ref="BD4" authorId="0">
      <text>
        <r>
          <rPr>
            <sz val="8"/>
            <color indexed="81"/>
            <rFont val="Tahoma"/>
            <family val="2"/>
          </rPr>
          <t>Prix unitaires des semences et plants, engrais, traitements, carburant et eau : ce que la grille d'enquête demande pour le module économique, qui calcule à l'opération technique.
Note : 2 si les intrants de l'ITK sont chiffrés : le carburant manque et les produits sont à rapprocher du référentiel MAELIA.</t>
        </r>
      </text>
    </comment>
    <comment ref="BE4" authorId="0">
      <text>
        <r>
          <rPr>
            <sz val="8"/>
            <color indexed="81"/>
            <rFont val="Tahoma"/>
            <family val="2"/>
          </rPr>
          <t>Charges opérationnelles par ITK : coût cumulé des intrants, hors irrigation.
Note : 2 si un coût est calculable : celui de MOSAICA mêle intrants, prestations, récolte, transport et forfait d'irrigation, que MAELIA compte séparément.</t>
        </r>
      </text>
    </comment>
    <comment ref="BF4" authorId="0">
      <text>
        <r>
          <rPr>
            <sz val="8"/>
            <color indexed="81"/>
            <rFont val="Tahoma"/>
            <family val="2"/>
          </rPr>
          <t>Charges de mécanisation par ITK (pour la marge semi-nette).
Note : 0 : pas de barème de mécanisation pour la Guadeloupe.</t>
        </r>
      </text>
    </comment>
  </commentList>
</comments>
</file>

<file path=xl/sharedStrings.xml><?xml version="1.0" encoding="utf-8"?>
<sst xmlns="http://schemas.openxmlformats.org/spreadsheetml/2006/main" count="2016" uniqueCount="935">
  <si>
    <t>Qualité des données par culture et par paramètre MAELIA</t>
  </si>
  <si>
    <t>0 = absente, difficile · 1 = absente, accessible · 2 = disponible, à retravailler · 3 = utilisable · – = sans objet. Les notes sont modifiables : les moyennes et la feuille Synthèse suivent.</t>
  </si>
  <si>
    <t>Famille</t>
  </si>
  <si>
    <t>Code</t>
  </si>
  <si>
    <t>Culture</t>
  </si>
  <si>
    <t>Surface 2017 (ha)</t>
  </si>
  <si>
    <t>Modèle MAELIA</t>
  </si>
  <si>
    <t>Cycle</t>
  </si>
  <si>
    <t>Heures hors types MAELIA</t>
  </si>
  <si>
    <t>Dépassements des plafonds d'un ITK (passages par an)</t>
  </si>
  <si>
    <t>Espèce — AqYield : rendement, phénologie, eau (especesCultivees.csv)</t>
  </si>
  <si>
    <t>Espèce — AqYieldNC : azote et carbone (especesCultivees.csv)</t>
  </si>
  <si>
    <t>ITK (reglesDeDecisions.csv)</t>
  </si>
  <si>
    <t>Fertilisation</t>
  </si>
  <si>
    <t>Économie</t>
  </si>
  <si>
    <t>RENDEMENT_OPTIMAL</t>
  </si>
  <si>
    <t>RENDEMENT_MOYEN</t>
  </si>
  <si>
    <t>RENDEMENT_MIN</t>
  </si>
  <si>
    <t>Tbase</t>
  </si>
  <si>
    <t>Tmax</t>
  </si>
  <si>
    <t>DEGRES_J_LevTbase</t>
  </si>
  <si>
    <t>DEGRES_J_Flor</t>
  </si>
  <si>
    <t>DEGRES_J_matPhyTbase</t>
  </si>
  <si>
    <t>FREIN</t>
  </si>
  <si>
    <t>KMAX</t>
  </si>
  <si>
    <t>CVIG</t>
  </si>
  <si>
    <t>CSTO</t>
  </si>
  <si>
    <t>coeff_Fonction_Prod</t>
  </si>
  <si>
    <t>CRACINE</t>
  </si>
  <si>
    <t>PROF_MAX_RACINE</t>
  </si>
  <si>
    <t>ZonesClimatiques</t>
  </si>
  <si>
    <t>especesHerbSim.csv</t>
  </si>
  <si>
    <t>BESOIN_N</t>
  </si>
  <si>
    <t>Type_Nacq + courbe</t>
  </si>
  <si>
    <t>adil, bdil, adilmax</t>
  </si>
  <si>
    <t>N_grain</t>
  </si>
  <si>
    <t>Tms</t>
  </si>
  <si>
    <t>HI</t>
  </si>
  <si>
    <t>SR_ratio</t>
  </si>
  <si>
    <t>beta</t>
  </si>
  <si>
    <t>C_aer, C_rac</t>
  </si>
  <si>
    <t>CN_ratio</t>
  </si>
  <si>
    <t>Pse</t>
  </si>
  <si>
    <t>ABSCISSION</t>
  </si>
  <si>
    <t>isLEG</t>
  </si>
  <si>
    <t>especeRepousse</t>
  </si>
  <si>
    <t>ID_PREC</t>
  </si>
  <si>
    <t>ZONE_PEDO, TYPE_EXPL, CLIMAT, IDS_SDCS</t>
  </si>
  <si>
    <t>MATERIEL</t>
  </si>
  <si>
    <t>IS_&lt;OT&gt;</t>
  </si>
  <si>
    <t>&lt;OT&gt;_TEMPS</t>
  </si>
  <si>
    <t>&lt;OT&gt;_DEBUT / _FIN</t>
  </si>
  <si>
    <t>Seuils de déclenchement</t>
  </si>
  <si>
    <t>TRAVAIL_SOL_EFFET_RUs</t>
  </si>
  <si>
    <t>IRRIGATION_DOSE, _TD</t>
  </si>
  <si>
    <t>IRRIGATION fenêtre, stades, seuils</t>
  </si>
  <si>
    <t>PHYTO produits, doses</t>
  </si>
  <si>
    <t>FAUCHE, PATURE</t>
  </si>
  <si>
    <t>FERTIALT produit, dose N-P-K</t>
  </si>
  <si>
    <t>FERTIALT calendrier, alternatives</t>
  </si>
  <si>
    <t>prixVentes.csv</t>
  </si>
  <si>
    <t>primes.csv</t>
  </si>
  <si>
    <t>Prix des intrants</t>
  </si>
  <si>
    <t>chargesOp.csv</t>
  </si>
  <si>
    <t>chargesDePassage.csv</t>
  </si>
  <si>
    <t>Moyennes de la ligne</t>
  </si>
  <si>
    <t>Espèce : eau, phéno</t>
  </si>
  <si>
    <t>Espèce : N et C</t>
  </si>
  <si>
    <t>ITK</t>
  </si>
  <si>
    <t>Score global</t>
  </si>
  <si>
    <t>Paramètres à 0</t>
  </si>
  <si>
    <t>Canne à sucre et canne fibre</t>
  </si>
  <si>
    <t>CS_NGT_NIM</t>
  </si>
  <si>
    <t>Canne à sucre : Nord Grande-Terre, pluvial, récolte mécanisée</t>
  </si>
  <si>
    <t>AqYield / AqYieldNC</t>
  </si>
  <si>
    <t>plantation de 7 ans</t>
  </si>
  <si>
    <t>–</t>
  </si>
  <si>
    <t>CS_BT_NIM</t>
  </si>
  <si>
    <t>Canne à sucre : Basse-Terre, pluvial, récolte mécanisée</t>
  </si>
  <si>
    <t>CS_MG_NISM</t>
  </si>
  <si>
    <t>Canne à sucre : Marie-Galante, pluvial, récolte semi-mécanisée</t>
  </si>
  <si>
    <t>CS_EGT_NIM</t>
  </si>
  <si>
    <t>Canne à sucre : Est Grande-Terre, pluvial, récolte mécanisée</t>
  </si>
  <si>
    <t>CS_CGT_NIM</t>
  </si>
  <si>
    <t>Canne à sucre : Centre Grande-Terre, pluvial, récolte mécanisée</t>
  </si>
  <si>
    <t>CS_NGT_NISM</t>
  </si>
  <si>
    <t>Canne à sucre : Nord Grande-Terre, pluvial, récolte semi-mécanisée</t>
  </si>
  <si>
    <t>CS_SBT_NIM</t>
  </si>
  <si>
    <t>Canne à sucre : Sud-Est Basse-Terre, pluvial, récolte mécanisée</t>
  </si>
  <si>
    <t>plantation de 3 ans</t>
  </si>
  <si>
    <t>CS_EGT_NISM</t>
  </si>
  <si>
    <t>Canne à sucre : Est Grande-Terre, pluvial, récolte semi-mécanisée</t>
  </si>
  <si>
    <t>CS_BT_NISM</t>
  </si>
  <si>
    <t>Canne à sucre : Basse-Terre, pluvial, récolte semi-mécanisée</t>
  </si>
  <si>
    <t>CS_CGT_NISM</t>
  </si>
  <si>
    <t>Canne à sucre : Centre Grande-Terre, pluvial, récolte semi-mécanisée</t>
  </si>
  <si>
    <t>CF_CGT_NIM</t>
  </si>
  <si>
    <t>Canne fibre : Centre Grande-Terre, pluvial, récolte mécanisée</t>
  </si>
  <si>
    <t>plantation de 6 ans</t>
  </si>
  <si>
    <t>CF_CGT_NISM</t>
  </si>
  <si>
    <t>Canne fibre : Centre Grande-Terre, pluvial, récolte semi-mécanisée</t>
  </si>
  <si>
    <t>CF_EGT_NIM</t>
  </si>
  <si>
    <t>Canne fibre : Est Grande-Terre, pluvial, récolte mécanisée</t>
  </si>
  <si>
    <t>2 récoltes (max 1)</t>
  </si>
  <si>
    <t>CF_EGT_NISM</t>
  </si>
  <si>
    <t>Canne fibre : Est Grande-Terre, pluvial, récolte semi-mécanisée</t>
  </si>
  <si>
    <t>CF_NBT_NIM</t>
  </si>
  <si>
    <t>Canne fibre : Nord Basse-Terre, pluvial, récolte mécanisée</t>
  </si>
  <si>
    <t>CF_NBT_NISM</t>
  </si>
  <si>
    <t>Canne fibre : Nord Basse-Terre, pluvial, récolte semi-mécanisée</t>
  </si>
  <si>
    <t>CF_NGT_NIM</t>
  </si>
  <si>
    <t>Canne fibre : Nord Grande-Terre, pluvial, récolte mécanisée</t>
  </si>
  <si>
    <t>CF_NGT_NISM</t>
  </si>
  <si>
    <t>Canne fibre : Nord Grande-Terre, pluvial, récolte semi-mécanisée</t>
  </si>
  <si>
    <t>CF_SBT_NIM</t>
  </si>
  <si>
    <t>Canne fibre : Sud Basse-Terre, pluvial, récolte mécanisée</t>
  </si>
  <si>
    <t>CF_SBT_NISM</t>
  </si>
  <si>
    <t>Canne fibre : Sud Basse-Terre, pluvial, récolte semi-mécanisée</t>
  </si>
  <si>
    <t>CS_BT_IM</t>
  </si>
  <si>
    <t>Canne à sucre : Basse-Terre, irrigué, récolte mécanisée</t>
  </si>
  <si>
    <t>CS_CGT_IM</t>
  </si>
  <si>
    <t>Canne à sucre : Centre Grande-Terre, irrigué, récolte mécanisée</t>
  </si>
  <si>
    <t>CS_EGT_IM</t>
  </si>
  <si>
    <t>Canne à sucre : Est Grande-Terre, irrigué, récolte mécanisée</t>
  </si>
  <si>
    <t>CS_MG_IM</t>
  </si>
  <si>
    <t>Canne à sucre : Marie-Galante, irrigué, récolte mécanisée</t>
  </si>
  <si>
    <t>CS_MG_NIM</t>
  </si>
  <si>
    <t>Canne à sucre : Marie-Galante, pluvial, récolte mécanisée</t>
  </si>
  <si>
    <t>CS_NGT_IM</t>
  </si>
  <si>
    <t>Canne à sucre : Nord Grande-Terre, irrigué, récolte mécanisée</t>
  </si>
  <si>
    <t>CS_SBT_IM</t>
  </si>
  <si>
    <t>Canne à sucre : Sud-Est Basse-Terre, irrigué, récolte mécanisée</t>
  </si>
  <si>
    <t>CS_SBT_NISM</t>
  </si>
  <si>
    <t>Canne à sucre : Sud-Est Basse-Terre, pluvial, récolte semi-mécanisée</t>
  </si>
  <si>
    <t>Banane dessert</t>
  </si>
  <si>
    <t>BA_INT</t>
  </si>
  <si>
    <t>Banane : intensif de plaine</t>
  </si>
  <si>
    <t>plantation de 8 ans</t>
  </si>
  <si>
    <t>34 récoltes (max 1) ; 12 apports (max 4)</t>
  </si>
  <si>
    <t>BA_PER</t>
  </si>
  <si>
    <t>Banane : extensif d'altitude</t>
  </si>
  <si>
    <t>plantation de 15 ans</t>
  </si>
  <si>
    <t>8.35 récoltes (max 1) ; 8 apports (max 4)</t>
  </si>
  <si>
    <t>BA_SINT</t>
  </si>
  <si>
    <t>Banane : intensif d'altitude</t>
  </si>
  <si>
    <t>plantation de 11 ans</t>
  </si>
  <si>
    <t>17 récoltes (max 1) ; 8 apports (max 4)</t>
  </si>
  <si>
    <t>BA_IRR</t>
  </si>
  <si>
    <t>Banane : irrigué</t>
  </si>
  <si>
    <t>Plantain</t>
  </si>
  <si>
    <t>BC_BT</t>
  </si>
  <si>
    <t>Plantain, Basse-Terre</t>
  </si>
  <si>
    <t>plantation de 2 ans</t>
  </si>
  <si>
    <t>4.5 apports (max 4) ; 36 désherbages (max 5)</t>
  </si>
  <si>
    <t>BC_GTMG</t>
  </si>
  <si>
    <t>Plantain, Grande-Terre et Marie-Galante</t>
  </si>
  <si>
    <t>Prairies</t>
  </si>
  <si>
    <t>PN_PIQ</t>
  </si>
  <si>
    <t>Prairie naturelle, élevage au piquet</t>
  </si>
  <si>
    <t>HerbSim / HerbSimNC</t>
  </si>
  <si>
    <t>annuelle</t>
  </si>
  <si>
    <t>PN_TOUR</t>
  </si>
  <si>
    <t>Prairie naturelle, pâturage tournant</t>
  </si>
  <si>
    <t>Maraîchage (dont tomate)</t>
  </si>
  <si>
    <t>MA_ROTA</t>
  </si>
  <si>
    <t>Maraîchage en rotation</t>
  </si>
  <si>
    <t>2 récoltes (max 1) ; 12.5 apports (max 4) ; 14 désherbages (max 5) ; 5.5 préparations du sol (max 4)</t>
  </si>
  <si>
    <t>MA_TO_CO_JA</t>
  </si>
  <si>
    <t>Maraîchage plein champ (rotation TO/CO/JA)</t>
  </si>
  <si>
    <t>MA_BAG_BIO_I</t>
  </si>
  <si>
    <t>Maraîchage plein champ (paillage bagasse, BIO, irrigué)</t>
  </si>
  <si>
    <t>MA_BAG_BIO_NI</t>
  </si>
  <si>
    <t>Maraîchage plein champ (paillage bagasse, BIO, pluvial)</t>
  </si>
  <si>
    <t>MA_BAG_FER_I</t>
  </si>
  <si>
    <t>Maraîchage plein champ (paillage bagasse, FER, irrigué)</t>
  </si>
  <si>
    <t>MA_BAG_FER_NI</t>
  </si>
  <si>
    <t>Maraîchage plein champ (paillage bagasse, FER, pluvial)</t>
  </si>
  <si>
    <t>MA_BAG_NON_I</t>
  </si>
  <si>
    <t>Maraîchage plein champ (paillage bagasse, NON, irrigué)</t>
  </si>
  <si>
    <t>MA_BAG_NON_NI</t>
  </si>
  <si>
    <t>Maraîchage plein champ (paillage bagasse, NON, pluvial)</t>
  </si>
  <si>
    <t>MA_BAG_VEG_I</t>
  </si>
  <si>
    <t>Maraîchage plein champ (paillage bagasse, VEG, irrigué)</t>
  </si>
  <si>
    <t>MA_BAG_VEG_NI</t>
  </si>
  <si>
    <t>Maraîchage plein champ (paillage bagasse, VEG, pluvial)</t>
  </si>
  <si>
    <t>MA_BRF_BIO_I</t>
  </si>
  <si>
    <t>Maraîchage plein champ (paillage BRF, BIO, irrigué)</t>
  </si>
  <si>
    <t>MA_BRF_BIO_NI</t>
  </si>
  <si>
    <t>Maraîchage plein champ (paillage BRF, BIO, pluvial)</t>
  </si>
  <si>
    <t>MA_BRF_FER_I</t>
  </si>
  <si>
    <t>Maraîchage plein champ (paillage BRF, FER, irrigué)</t>
  </si>
  <si>
    <t>MA_BRF_FER_NI</t>
  </si>
  <si>
    <t>Maraîchage plein champ (paillage BRF, FER, pluvial)</t>
  </si>
  <si>
    <t>MA_BRF_NON_I</t>
  </si>
  <si>
    <t>Maraîchage plein champ (paillage BRF, NON, irrigué)</t>
  </si>
  <si>
    <t>MA_BRF_NON_NI</t>
  </si>
  <si>
    <t>Maraîchage plein champ (paillage BRF, NON, pluvial)</t>
  </si>
  <si>
    <t>MA_BRF_VEG_I</t>
  </si>
  <si>
    <t>Maraîchage plein champ (paillage BRF, VEG, irrigué)</t>
  </si>
  <si>
    <t>MA_BRF_VEG_NI</t>
  </si>
  <si>
    <t>Maraîchage plein champ (paillage BRF, VEG, pluvial)</t>
  </si>
  <si>
    <t>MA_MOBIO</t>
  </si>
  <si>
    <t>Maraîchage bio monospécifique</t>
  </si>
  <si>
    <t>25 désherbages (max 5)</t>
  </si>
  <si>
    <t>MA_PAI_BIO_I</t>
  </si>
  <si>
    <t>Maraîchage plein champ (paillage paille, BIO, irrigué)</t>
  </si>
  <si>
    <t>MA_PAI_BIO_NI</t>
  </si>
  <si>
    <t>Maraîchage plein champ (paillage paille, BIO, pluvial)</t>
  </si>
  <si>
    <t>MA_PAI_FER_I</t>
  </si>
  <si>
    <t>Maraîchage plein champ (paillage paille, FER, irrigué)</t>
  </si>
  <si>
    <t>MA_PAI_FER_NI</t>
  </si>
  <si>
    <t>Maraîchage plein champ (paillage paille, FER, pluvial)</t>
  </si>
  <si>
    <t>MA_PAI_NON_I</t>
  </si>
  <si>
    <t>Maraîchage plein champ (paillage paille, NON, irrigué)</t>
  </si>
  <si>
    <t>MA_PAI_NON_NI</t>
  </si>
  <si>
    <t>Maraîchage plein champ (paillage paille, NON, pluvial)</t>
  </si>
  <si>
    <t>MA_PAI_VEG_I</t>
  </si>
  <si>
    <t>Maraîchage plein champ (paillage paille, VEG, irrigué)</t>
  </si>
  <si>
    <t>MA_PAI_VEG_NI</t>
  </si>
  <si>
    <t>Maraîchage plein champ (paillage paille, VEG, pluvial)</t>
  </si>
  <si>
    <t>MA_PLBIO</t>
  </si>
  <si>
    <t>Maraîchage bio plurispécifique</t>
  </si>
  <si>
    <t>2 récoltes (max 1) ; 12.5 apports (max 4) ; 37 désherbages (max 5)</t>
  </si>
  <si>
    <t>MA_TO_CHOU_JA</t>
  </si>
  <si>
    <t>Maraîchage plein champ (rotation tomate/chou/jachère)</t>
  </si>
  <si>
    <t>TH</t>
  </si>
  <si>
    <t>Tomate</t>
  </si>
  <si>
    <t>12 apports (max 4) ; 13 traitements (max 8)</t>
  </si>
  <si>
    <t>Melon</t>
  </si>
  <si>
    <t>ME</t>
  </si>
  <si>
    <t>11 traitements (max 8)</t>
  </si>
  <si>
    <t>Igname</t>
  </si>
  <si>
    <t>IG_PLA</t>
  </si>
  <si>
    <t>Igname à plat</t>
  </si>
  <si>
    <t>23 désherbages (max 5)</t>
  </si>
  <si>
    <t>IG_TUT</t>
  </si>
  <si>
    <t>Igname tuteurée</t>
  </si>
  <si>
    <t>26 désherbages (max 5)</t>
  </si>
  <si>
    <t>Ananas</t>
  </si>
  <si>
    <t>AN_NU</t>
  </si>
  <si>
    <t>Ananas sans paillage plastique</t>
  </si>
  <si>
    <t>cycle de 18 mois</t>
  </si>
  <si>
    <t>AN_PA</t>
  </si>
  <si>
    <t>Ananas avec paillage plastique</t>
  </si>
  <si>
    <t>17.3 traitements (max 8)</t>
  </si>
  <si>
    <t>Agrumes</t>
  </si>
  <si>
    <t>AG</t>
  </si>
  <si>
    <t>9 apports (max 4)</t>
  </si>
  <si>
    <t>Vergers</t>
  </si>
  <si>
    <t>VE_BTGT</t>
  </si>
  <si>
    <t>Vergers, Basse-Terre et Grande-Terre</t>
  </si>
  <si>
    <t>5 apports (max 4)</t>
  </si>
  <si>
    <t>VE_PLUIE</t>
  </si>
  <si>
    <t>Vergers, zones très pluvieuses</t>
  </si>
  <si>
    <t>Jachère</t>
  </si>
  <si>
    <t>JA</t>
  </si>
  <si>
    <t>gel (espèce existante, ITK fourni)</t>
  </si>
  <si>
    <t>Moyenne des cultures</t>
  </si>
  <si>
    <t>Moyenne pondérée par la surface 2017</t>
  </si>
  <si>
    <t>Codes sans ITK, laissés de côté (en-têtes de groupe RPG) : AN, BA, BC, CS, IG, MA, NC, PN, VE</t>
  </si>
  <si>
    <t>Dictionnaire des paramètres de la feuille Cultures</t>
  </si>
  <si>
    <t>Une ligne par colonne notée. Les décomptes renvoient à la feuille Cultures ; les pistes de sources sont à valider.</t>
  </si>
  <si>
    <t>Bloc</t>
  </si>
  <si>
    <t>Paramètre MAELIA</t>
  </si>
  <si>
    <t>Signification</t>
  </si>
  <si>
    <t>Unité</t>
  </si>
  <si>
    <t>Nécessité</t>
  </si>
  <si>
    <t>Ce que MOSAICA a</t>
  </si>
  <si>
    <t>Règle de notation</t>
  </si>
  <si>
    <t>Pistes de sources</t>
  </si>
  <si>
    <t>Lien</t>
  </si>
  <si>
    <t>Moyenne</t>
  </si>
  <si>
    <t>Moyenne pondérée surface</t>
  </si>
  <si>
    <t>Cultures à 0</t>
  </si>
  <si>
    <t>à 1</t>
  </si>
  <si>
    <t>à 2</t>
  </si>
  <si>
    <t>à 3</t>
  </si>
  <si>
    <t>sans objet</t>
  </si>
  <si>
    <t>Surface à 0 (ha)</t>
  </si>
  <si>
    <t>Surface à 0 ou 1 (ha)</t>
  </si>
  <si>
    <t>Rendement potentiel local, que le modèle réduit selon les stress hydrique et azoté. À adapter au terrain (obligatoire).</t>
  </si>
  <si>
    <t>t/ha</t>
  </si>
  <si>
    <t>obligatoire</t>
  </si>
  <si>
    <t>Aucune : Rdt_Cult est un rendement moyen atteint, pas un potentiel.</t>
  </si>
  <si>
    <t>1 si des essais ou références donnent un potentiel pour la plante, 0 sinon (mélanges, prairie).</t>
  </si>
  <si>
    <t>Essais INRAE/CIRAD, CTCS (canne), IT2 (banane, diversification), Agreste (meilleures années). La grille d'enquête ITK le demande par culture et par type de sol. En 1.4.31 : parametres/rendements_optimaux.csv.</t>
  </si>
  <si>
    <t>https://daaf.guadeloupe.agriculture.gouv.fr/</t>
  </si>
  <si>
    <t>Rendement moyen, sert à la validation.</t>
  </si>
  <si>
    <t>optionnel</t>
  </si>
  <si>
    <t>Rdt_Cult_CF_&lt;scénario&gt;.</t>
  </si>
  <si>
    <t>2 : présent, mais 1 à 4 fois le rendement du territoire (vigilance C.1).</t>
  </si>
  <si>
    <t>Agreste (statistique agricole annuelle), CTCS, LPG.</t>
  </si>
  <si>
    <t>Rendement minimum, sert à la validation.</t>
  </si>
  <si>
    <t>Var_Rdt_Cult (une variance, pas un minimum).</t>
  </si>
  <si>
    <t>2 si une variance existe (minimum à en déduire), 1 sinon.</t>
  </si>
  <si>
    <t>Séries Agreste par culture.</t>
  </si>
  <si>
    <t>Température de base des degrés-jours (un entier).</t>
  </si>
  <si>
    <t>°C</t>
  </si>
  <si>
    <t>Aucune.</t>
  </si>
  <si>
    <t>1 si un modèle de culture publié paramètre la plante, 0 sinon.</t>
  </si>
  <si>
    <t>Modèles publiés à transposer : canne MOSICAS (CIRAD) et STICS (paramétrage R570, La Réunion) ; banane SIMBA (CIRAD, Guadeloupe) et STICS-banane (Brisson, Ozier-Lafontaine et Dorel, 1998) ; ananas SIMPIÑA (CIRAD, Queen Victoria, La Réunion) ; igname : CropSyst adapté (Marcos et al., Guadeloupe), dont le développement dépend de la photopériode, qu'AqYield ne représente pas ; tomate STICS. Melon : pas de modèle, mais des sommes de températures publiées (base 10 °C, ou 11 °C plafonnée à 25 °C).</t>
  </si>
  <si>
    <t>https://stics.inrae.fr/</t>
  </si>
  <si>
    <t>Température maximale prise en compte dans les degrés-jours.</t>
  </si>
  <si>
    <t>Comme Tbase.</t>
  </si>
  <si>
    <t>Somme de degrés-jours à la levée.</t>
  </si>
  <si>
    <t>°C.j</t>
  </si>
  <si>
    <t>Aucune (Duree_Cycle_Cult : 12 mois partout, 18 pour l'ananas).</t>
  </si>
  <si>
    <t>Comme Tbase. Pour une plantation (canne, banane) : reprise après plantation ou coupe, à définir avec l'équipe MAELIA.</t>
  </si>
  <si>
    <t>Somme de degrés-jours à la floraison (maximum du Kc).</t>
  </si>
  <si>
    <t>Comme Tbase. Sans objet agronomique strict pour la canne (récoltée avant floraison) : c'est la date du Kc maximal qu'il faut.</t>
  </si>
  <si>
    <t>Somme de degrés-jours à la maturité (Kc nul). La récolte n'est déclenchée qu'une fois cette somme atteinte.</t>
  </si>
  <si>
    <t>Comme Tbase. Fixe aussi la date de récolte : à caler sur la campagne réelle.</t>
  </si>
  <si>
    <t>Frein hivernal au développement (1 = pas de frein).</t>
  </si>
  <si>
    <t>0-1</t>
  </si>
  <si>
    <t>Sans hiver, la valeur est 1.</t>
  </si>
  <si>
    <t>3 : connue sans mesure (à confirmer : les supports parlent aussi de frein photopériodique).</t>
  </si>
  <si>
    <t>—</t>
  </si>
  <si>
    <t>Coefficient cultural maximal.</t>
  </si>
  <si>
    <t>Aucune. Attention : KCROP de Data_Cult est le coefficient de minéralisation de MORGWANIK, pas un Kc.</t>
  </si>
  <si>
    <t>1 : les tables FAO-56 donnent un Kc pour la plante ou une voisine.</t>
  </si>
  <si>
    <t>FAO-56, tableau 12 (canne, banane, ananas, agrumes, tomate, melon ; igname par analogie avec les tubercules tropicaux).</t>
  </si>
  <si>
    <t>https://www.fao.org/4/x0490e/x0490e0b.htm</t>
  </si>
  <si>
    <t>Vigueur : pente de montée du Kc.</t>
  </si>
  <si>
    <t>0 : propre à AqYield, se cale sur une courbe de Kc ou de LAI.</t>
  </si>
  <si>
    <t>Calibration avec le référent MAELIA ; LAI par télédétection.</t>
  </si>
  <si>
    <t>https://maelia.pages-forge.inrae.fr/documentation/04-donnees_entree.html</t>
  </si>
  <si>
    <t>Effet de la fermeture stomatique sur le stress hydrique.</t>
  </si>
  <si>
    <t>1 : vaut 1 pour toutes les espèces des jeux d'exemple MAELIA.</t>
  </si>
  <si>
    <t>Valeur par défaut des espèces existantes.</t>
  </si>
  <si>
    <t>Forme de la fonction de production : effet du stress hydrique sur le rendement.</t>
  </si>
  <si>
    <t>1 si un coefficient de réponse à l'eau (Ky) est publié pour la plante, 0 sinon. Ky n'est pas le paramètre d'AqYield : point de départ seulement.</t>
  </si>
  <si>
    <t>FAO-33 (Doorenbos et Kassam 1979), table reprise dans FAO-66 : canne 1,2, banane 1,2-1,35, tomate 1,05, pastèque 1,1 (pour le melon). Agrumes 1,1-1,3 d'après une source secondaire. Pas d'ananas ni d'igname.</t>
  </si>
  <si>
    <t>https://www.fao.org/4/i2800e/i2800e.pdf</t>
  </si>
  <si>
    <t>Vitesse de croissance racinaire.</t>
  </si>
  <si>
    <t>°C.j par mm de RU</t>
  </si>
  <si>
    <t>Aucune (LONG_RAC est une profondeur, pas une vitesse).</t>
  </si>
  <si>
    <t>0 : propre à AqYield.</t>
  </si>
  <si>
    <t>Calibration avec le référent MAELIA.</t>
  </si>
  <si>
    <t>Profondeur maximale d'enracinement.</t>
  </si>
  <si>
    <t>cm</t>
  </si>
  <si>
    <t>Data_Cult, ligne LONG_RAC (une valeur par plante).</t>
  </si>
  <si>
    <t>2 : présente, commune à toutes les variantes d'une plante.</t>
  </si>
  <si>
    <t>FAO-56, tableau 22.</t>
  </si>
  <si>
    <t>https://www.fao.org/4/x0490e/x0490e00.htm</t>
  </si>
  <si>
    <t>Zones climatiques où l'espèce peut pousser.</t>
  </si>
  <si>
    <t>optionnel (choix d'assolement par MAELIA seulement)</t>
  </si>
  <si>
    <t>Bornes d'éligibilité ALTI_MIN/MAX et PLUVIO_MIN/MAX de Data_Cult.</t>
  </si>
  <si>
    <t>2 : à traduire une fois les zones climatiques de la Guadeloupe définies.</t>
  </si>
  <si>
    <t>Prairies : la trentaine de paramètres HerbSim (efficience du rayonnement, durée de vie des feuilles, digestibilité, dilution de l'azote…).</t>
  </si>
  <si>
    <t>obligatoire pour les prairies</t>
  </si>
  <si>
    <t>Aucune. HerbSim ne connaît que 7 espèces tempérées et 5 types fonctionnels de graminées (A, B, b, C, D).</t>
  </si>
  <si>
    <t>0 : aucune graminée tropicale (pangola, herbe de Guinée…) n'est paramétrée.</t>
  </si>
  <si>
    <t>INRAE Antilles-Guyane (URZ/ASSET, fourrages tropicaux) ; équipe MAELIA.</t>
  </si>
  <si>
    <t>Besoin en azote par unité produite (ou BESOIN_Ntot, besoin total).</t>
  </si>
  <si>
    <t>kg N/t (ou kg N/ha)</t>
  </si>
  <si>
    <t>AqYieldNC</t>
  </si>
  <si>
    <t>Aucune : l'azote des engrais est un apport, pas un besoin.</t>
  </si>
  <si>
    <t>1 si les exportations d'azote de la plante sont publiées, 0 sinon.</t>
  </si>
  <si>
    <t>Canne : 0,8 à 1,4 kg N/t de tiges (1 kg N/t au Brésil) ; banane : 1,3 à 1,9 kg N/t de fruits (revue Fruits, CIRAD) ; igname (D. alata) : ~2,9 kg N/t de tubercules frais, sur deux études seulement ; ananas : exportations faibles, publiées par fruit.</t>
  </si>
  <si>
    <t>Type d'acquisition de l'azote et forme de la demande (DEBUT_, FREIN_, PRE_FLO_, PRE_MAT_BESOIN_N ; coef_500Mat pour le type 500Mat).</t>
  </si>
  <si>
    <t>0 : métamodèle propre à AqYield-N, à choisir avec le référent.</t>
  </si>
  <si>
    <t>Équipe MAELIA ; note AqYieldNC (Data INRAE).</t>
  </si>
  <si>
    <t>Courbe de dilution critique (et maximale) de l'azote, comme dans STICS.</t>
  </si>
  <si>
    <t>1 : des courbes génériques sont publiées pour les plantes en C3 et en C4 (la canne est en C4), à défaut d'une courbe propre à l'espèce.</t>
  </si>
  <si>
    <t>Greenwood et al. (1990) : C3 5,7 W^-0,5, C4 4,1 W^-0,5 (% N) ; courbe propre à la canne : Oliveira et al. (2013). adilmax apparaît en 1.4.31.</t>
  </si>
  <si>
    <t>Teneur en azote du produit récolté.</t>
  </si>
  <si>
    <t>% MS</t>
  </si>
  <si>
    <t>Nutri_Cult, ligne Prot (protéines / 6,25) pour les cultures alimentaires.</t>
  </si>
  <si>
    <t>2 si les protéines du produit sont dans Nutri_Cult, 1 sinon (tables de composition).</t>
  </si>
  <si>
    <t>Table Ciqual (Anses).</t>
  </si>
  <si>
    <t>https://ciqual.anses.fr/</t>
  </si>
  <si>
    <t>Teneur en matière sèche du produit récolté.</t>
  </si>
  <si>
    <t>1 : dans les tables de composition.</t>
  </si>
  <si>
    <t>Table Ciqual (Anses) : igname crue 69,6 g d'eau pour 100 g, soit Tms ≈ 0,30, et 1,3 à 1,5 g de protéines.</t>
  </si>
  <si>
    <t>Indice de récolte : produit / biomasse aérienne totale.</t>
  </si>
  <si>
    <t>À déduire de Rdt_Cult, Tms et BIOM_AER (résidus aériens, t/ha).</t>
  </si>
  <si>
    <t>2 si BIOM_AER est renseignée (≠ 6, la valeur par défaut), 1 sinon.</t>
  </si>
  <si>
    <t>MORGWANIK (résidus) ; littérature par plante.</t>
  </si>
  <si>
    <t>Rapport parties aériennes / racines après récolte (ou RootC_fixed).</t>
  </si>
  <si>
    <t>Data_Cult, ligne RAC (biomasse racinaire / rendement) : définition voisine.</t>
  </si>
  <si>
    <t>2 : proxy à convertir ; 1 si RAC vaut 0,1, la valeur mise quand elle est inconnue.</t>
  </si>
  <si>
    <t>MORGWANIK ; littérature par plante.</t>
  </si>
  <si>
    <t>Répartition des racines en profondeur (Gale et Grigal 1987).</t>
  </si>
  <si>
    <t>1 : valeurs tabulées par type de plante.</t>
  </si>
  <si>
    <t>Gale et Grigal (1987) ; valeurs par biome dans Jackson et al. (1996) ; espèces MAELIA voisines.</t>
  </si>
  <si>
    <t>Teneur en carbone des résidus aériens et racinaires.</t>
  </si>
  <si>
    <t>Data_Cult, ligne CARB (0,4 par défaut).</t>
  </si>
  <si>
    <t>2 : une valeur, commune aux deux compartiments ; 1 si CARB vaut 0,4, la valeur mise quand elle est inconnue.</t>
  </si>
  <si>
    <t>MORGWANIK.</t>
  </si>
  <si>
    <t>Rapport C/N des résidus de culture.</t>
  </si>
  <si>
    <t>Aucune (HRES est un coefficient d'humification).</t>
  </si>
  <si>
    <t>1 si la plante est une espèce unique, 0 pour les mélanges.</t>
  </si>
  <si>
    <t>Paramètres résidus de STICS ; INRAE Antilles-Guyane (ASTRO).</t>
  </si>
  <si>
    <t>Part des résidus aériens laissée au sol quand ils sont exportés.</t>
  </si>
  <si>
    <t>Aucune (le scénario RESTIT/SMART porte la pratique).</t>
  </si>
  <si>
    <t>1 : à dire d'expert.</t>
  </si>
  <si>
    <t>Chambre d'agriculture, instituts techniques.</t>
  </si>
  <si>
    <t>https://guadeloupe.chambres-agriculture.fr/</t>
  </si>
  <si>
    <t>Chute des parties aériennes avant récolte.</t>
  </si>
  <si>
    <t>1 : 0 par défaut, à valider par plante.</t>
  </si>
  <si>
    <t>Valeurs des espèces MAELIA voisines.</t>
  </si>
  <si>
    <t>Légumineuse fixatrice.</t>
  </si>
  <si>
    <t>vrai/faux</t>
  </si>
  <si>
    <t>Agronomie : aucune des cultures n'est une légumineuse.</t>
  </si>
  <si>
    <t>3.</t>
  </si>
  <si>
    <t>Couvert qui simule la repousse après récolte.</t>
  </si>
  <si>
    <t>0 pour la canne : c'est peut-être le mécanisme des repousses, à confirmer. Sans objet ailleurs.</t>
  </si>
  <si>
    <t>Équipe MAELIA (question n° 1 de la formation).</t>
  </si>
  <si>
    <t>Précédent cultural (critère de spatialisation).</t>
  </si>
  <si>
    <t>obligatoire (« * » accepté)</t>
  </si>
  <si>
    <t>Data_RPG_Gwad_2017 : groupe RPG déclaré de 2012 à 2017, par parcelle.</t>
  </si>
  <si>
    <t>2 : connu au niveau des 12 groupes RPG, pas de la culture fine. La jachère (« gel ») doit figurer parmi les précédents des ITK qui la suivent.</t>
  </si>
  <si>
    <t>RPG (IGN/ASP).</t>
  </si>
  <si>
    <t>https://geoservices.ign.fr/rpg</t>
  </si>
  <si>
    <t>Sol, type d'exploitation, zone climatique et séquence de référence (IDS_SDCS, face à ID_SDC de parcelles.shp) auxquels l'ITK s'applique ; en 1.4.31 aussi un critère libre, CRIT_SPAT_ADHOC.</t>
  </si>
  <si>
    <t>Règles GAMS qui attribuent l'ITK fin à une parcelle (île, région, pente, taille d'exploitation, irrigation, sol) : ENTREES.txt:299-457.</t>
  </si>
  <si>
    <t>2 : les règles existent, à réécrire en critères MAELIA.</t>
  </si>
  <si>
    <t>Matériel d'irrigation.</t>
  </si>
  <si>
    <t>si irrigué</t>
  </si>
  <si>
    <t>Variantes irriguées et drapeau IRRIG_PARC ; le type de matériel est inconnu.</t>
  </si>
  <si>
    <t>1 pour les ITK irrigués (dire d'expert), sans objet sinon.</t>
  </si>
  <si>
    <t>Chambre d'agriculture, Conseil départemental (réseau d'irrigation).</t>
  </si>
  <si>
    <t>Quelles opérations techniques existent : TRAVAIL_SOL (ex-PREPA et REPRISE), SEMIS, DESHERBAGE_MECA (ex-BINAGE), FERTI, PHYTO, IRRIGATION, RECOLTE ; FAUCHE et PATURE pour les prairies.</t>
  </si>
  <si>
    <t>O/N</t>
  </si>
  <si>
    <t>Matrice_OTK_Cult_&lt;scénario&gt;, opérations rangées dans les types MAELIA.</t>
  </si>
  <si>
    <t>3 si toutes les opérations ont un type MAELIA, 2 si au moins la moitié, 1 si quelques-unes, 0 si aucune. Voir aussi la colonne Dépassements.</t>
  </si>
  <si>
    <t>Débit de chantier de chaque opération (l'application ITK le demande en h/ha, le fichier le porte en ha/h).</t>
  </si>
  <si>
    <t>ha/h</t>
  </si>
  <si>
    <t>Data_OTK : MO_EXPL × DOSE, en h/ha.</t>
  </si>
  <si>
    <t>Selon la part des heures portée par des opérations sans type MAELIA (effeuillage, tuteurage, emballage, soins aux animaux…) : 3 sous 10 %, 2 sous 50 %, 1 au-delà.</t>
  </si>
  <si>
    <t>Fenêtres calendaires de chaque opération (1 à 3 sous-périodes, jours juliens). La récolte attend en plus la maturité.</t>
  </si>
  <si>
    <t>jour</t>
  </si>
  <si>
    <t>1 si la culture a une campagne datée connue des fiches techniques, 0 si elle est conduite en continu (banane, plantain, maraîchage, prairie).</t>
  </si>
  <si>
    <t>Fiches techniques Chambre d'agriculture, CTCS, IT2 ; grille d'entretien ITK de MAELIA.</t>
  </si>
  <si>
    <t>Humidité du sol, cumul de pluie, P-ETP, température, stade (ECHV) qui autorisent l'opération.</t>
  </si>
  <si>
    <t>divers</t>
  </si>
  <si>
    <t>optionnel (NA accepté)</t>
  </si>
  <si>
    <t>0 : enquête auprès d'experts. Un ITK tourne sans (NA), mais il est alors aveugle à la météo, ce qui retire l'intérêt du pas de temps journalier.</t>
  </si>
  <si>
    <t>Grille d'entretien ITK de MAELIA ; application ITK.</t>
  </si>
  <si>
    <t>https://analytics.huma-num.fr/Renaud.Misslin/maelia_itk/</t>
  </si>
  <si>
    <t>Profondeur de travail du sol (ex-PREPA et REPRISE).</t>
  </si>
  <si>
    <t>si travail du sol</t>
  </si>
  <si>
    <t>Data_Cult, ligne PROF_SILLONS (profondeur des sillons).</t>
  </si>
  <si>
    <t>2 si PROF_SILLONS est renseignée, 1 sinon ; sans objet sans travail du sol.</t>
  </si>
  <si>
    <t>Fiches techniques.</t>
  </si>
  <si>
    <t>Dose par tour d'eau et délai de retour.</t>
  </si>
  <si>
    <t>mm, jours</t>
  </si>
  <si>
    <t>Opérations d'irrigation de la matrice et BESOIN_EAU_01..12 (besoin brut, plat sur l'année : vigilance C.4).</t>
  </si>
  <si>
    <t>2 si opérations et besoin, 1 si l'un des deux seulement, sans objet si ni l'un ni l'autre.</t>
  </si>
  <si>
    <t>FAO-56 ; pratiques locales.</t>
  </si>
  <si>
    <t>Période d'irrigation, stades de début et de fin, pluie qui annule ou reporte un tour.</t>
  </si>
  <si>
    <t>jour, mm</t>
  </si>
  <si>
    <t>0 pour les cultures irriguées, sans objet sinon.</t>
  </si>
  <si>
    <t>Experts ; application ITK.</t>
  </si>
  <si>
    <t>Traitements phytosanitaires.</t>
  </si>
  <si>
    <t>L/ha</t>
  </si>
  <si>
    <t>si traité</t>
  </si>
  <si>
    <t>Matrice et Data_OTK (IFT, propriétés PPDB).</t>
  </si>
  <si>
    <t>3 si l'ITK compte des traitements, sans objet sinon.</t>
  </si>
  <si>
    <t>Prairies : FAUCHE (hauteur de coupe, hauteur ou biomasse minimale) et PATURE (dates, temps de repos, part d'herbe accessible, hauteurs d'herbe à l'entrée et à la sortie), TYPE_GESTION_PRAIRIE.</t>
  </si>
  <si>
    <t>cm, t/ha, jours</t>
  </si>
  <si>
    <t>pour les prairies</t>
  </si>
  <si>
    <t>Opérations de déplacement et de soins des ITK PN ; ni hauteur d'herbe ni chargement.</t>
  </si>
  <si>
    <t>0. Le pâturage demande en plus les lots d'animaux (feuille Autres données).</t>
  </si>
  <si>
    <t>INRAE Antilles-Guyane (élevage), Chambre d'agriculture, EDE.</t>
  </si>
  <si>
    <t>Produits et doses par apport (4 apports au plus par stratégie).</t>
  </si>
  <si>
    <t>kg d'élément/ha (minéral), t brutes/ha (organique)</t>
  </si>
  <si>
    <t>Lignes engrais de la matrice ; N par la colonne AZOTE, P et K par la formule dans le nom du produit.</t>
  </si>
  <si>
    <t>3 si l'ITK fertilise, sans objet sinon.</t>
  </si>
  <si>
    <t>Dates des apports, fractionnement, stratégies de repli selon le stock d'engrais.</t>
  </si>
  <si>
    <t>Aucune : la matrice donne un nombre d'apports, pas leur date.</t>
  </si>
  <si>
    <t>1 si le fractionnement est décrit dans les fiches techniques de la plante, 0 sinon ; sans objet sans fertilisation.</t>
  </si>
  <si>
    <t>Fiches techniques Chambre d'agriculture, CTCS, IT2.</t>
  </si>
  <si>
    <t>Prix de vente par espèce et par an.</t>
  </si>
  <si>
    <t>€/t (le guide imprime €/ha : à confirmer)</t>
  </si>
  <si>
    <t>pour les sorties économiques (MAELIA tourne sans)</t>
  </si>
  <si>
    <t>Prix_Cult_CF_&lt;scénario&gt;.</t>
  </si>
  <si>
    <t>2 si un prix existe : 2017 seulement, les colonnes 2018-2022 en sont des copies. 1 sinon (canne fibre : prix nul).</t>
  </si>
  <si>
    <t>Agreste / DAAF (conjoncture), ODEADOM.</t>
  </si>
  <si>
    <t>https://www.odeadom.fr/</t>
  </si>
  <si>
    <t>Aides couplées par espèce et par département.</t>
  </si>
  <si>
    <t>€/ha</t>
  </si>
  <si>
    <t>POSEI à l'hectare et à la tonne, aides canne (industrie, replantation, transport, garantie de prix), MAE.</t>
  </si>
  <si>
    <t>2 : les aides à la tonne sont à convertir en €/ha avec un rendement.</t>
  </si>
  <si>
    <t>Programme POSEI France, ODEADOM, DAAF.</t>
  </si>
  <si>
    <t>Prix unitaires des semences et plants, engrais, traitements, carburant et eau : ce que la grille d'enquête demande pour le module économique, qui calcule à l'opération technique.</t>
  </si>
  <si>
    <t>€/kg, €/L, €/m³</t>
  </si>
  <si>
    <t>pour les sorties économiques (format du fichier à confirmer)</t>
  </si>
  <si>
    <t>Data_OTK : PRIX_UNIT et DOSE de chaque intrant. Pas de prix du carburant.</t>
  </si>
  <si>
    <t>2 si les intrants de l'ITK sont chiffrés : le carburant manque et les produits sont à rapprocher du référentiel MAELIA.</t>
  </si>
  <si>
    <t>Charges opérationnelles par ITK : coût cumulé des intrants, hors irrigation.</t>
  </si>
  <si>
    <t>Matrice × PRIX_UNIT, plus coûts de récolte et de transport.</t>
  </si>
  <si>
    <t>2 si un coût est calculable : celui de MOSAICA mêle intrants, prestations, récolte, transport et forfait d'irrigation, que MAELIA compte séparément.</t>
  </si>
  <si>
    <t>Charges de mécanisation par ITK (pour la marge semi-nette).</t>
  </si>
  <si>
    <t>pour la marge semi-nette</t>
  </si>
  <si>
    <t>Aucune : AMORTI ne fait que signaler les opérations amorties.</t>
  </si>
  <si>
    <t>0 : pas de barème de mécanisation pour la Guadeloupe.</t>
  </si>
  <si>
    <t>Chambre d'agriculture, CUMA, prestataires de récolte (SICA canne).</t>
  </si>
  <si>
    <t>Lignes des fichiers MAELIA non notées</t>
  </si>
  <si>
    <t>COULEUR_R, COULEUR_V, COULEUR_B</t>
  </si>
  <si>
    <t>Couleur d'affichage : obligatoire, sans enjeu.</t>
  </si>
  <si>
    <t>isCouvert</t>
  </si>
  <si>
    <t>Vrai pour un couvert intermédiaire : faux pour toutes les cultures de MOSAICA.</t>
  </si>
  <si>
    <t>a_Ndemand_ci, b_Ndemand_ci, Dde</t>
  </si>
  <si>
    <t>Propres aux couverts intermédiaires.</t>
  </si>
  <si>
    <t>RootC_fixed, BESOIN_Ntot</t>
  </si>
  <si>
    <t>Variantes de SR_ratio et de BESOIN_N (apport racinaire fixe, besoin total par hectare comme pour la betterave et la pomme de terre).</t>
  </si>
  <si>
    <t>tgelLev10/90, tgelJuv10/90, tgelVeg10/90, tgelFlo10/90, DEGRES_J_stadeJuvenile, DEGRES_J_dureeFloraison</t>
  </si>
  <si>
    <t>Stress climatique (gel, échaudage), apparus en 1.4.31 ; inactif par défaut (avecStressClimatique). Le gel est sans objet aux Antilles, l'échaudage reste à instruire.</t>
  </si>
  <si>
    <t>ALPHA*, KC*</t>
  </si>
  <si>
    <t>Modèle de culture « simple » seulement.</t>
  </si>
  <si>
    <t>date_maj, source_projet, indice_fiabilite</t>
  </si>
  <si>
    <t>Traçabilité de l'espèce (1.4.31). MAELIA tient son propre indice de fiabilité par espèce.</t>
  </si>
  <si>
    <t>IS_CULTURE_HIVER</t>
  </si>
  <si>
    <t>Culture d'hiver ou de printemps : sert à choisir un ITK de repli quand le semis échoue. Sens à définir sous les tropiques.</t>
  </si>
  <si>
    <t>IS_CORPEN</t>
  </si>
  <si>
    <t>Ajuste les doses d'azote minéral aux rendements simulés (option du lanceur).</t>
  </si>
  <si>
    <t>&lt;OT&gt;_OUTIL, _AGRIW, _PASSAGES, _OPERATEUR, _NOM, _OT_PREALABLE</t>
  </si>
  <si>
    <t>Outil, opération faite par l'agriculteur ou par un tiers, passages, nom. Sans effet sur la simulation d'après la note de 2022 ; l'outil sert au module économique.</t>
  </si>
  <si>
    <t>ID_ANTE_PREC, ID_SUIV, CRIT_SPAT_ADHOC</t>
  </si>
  <si>
    <t>Antéprécédent, culture suivante, critère libre : critères de spatialisation apparus en 1.4.31.</t>
  </si>
  <si>
    <t>PHYTO_TYPE</t>
  </si>
  <si>
    <t>Type de traitement, pour l'IFT.</t>
  </si>
  <si>
    <t>IRRIGATION_SIRR1 à 3, _IS_THEORIQUE, _GROUPE</t>
  </si>
  <si>
    <t>Mode d'optimisation de l'irrigation (taux de satisfaction hydrique visé par stade) et tours d'eau par groupe.</t>
  </si>
  <si>
    <t>Données hors cultures : climat, sols, parcellaire, exploitations, hydrologie</t>
  </si>
  <si>
    <t>Même échelle 0-3. La priorité dit quel usage la donnée bloque : le module agricole seul (1), la version azote et le test de robustesse (2), les modules hydrologique, normatif et filières (3). Laissés de côté, sans objet sur une île tropicale : bandes d'altitude pour la neige, îlots hors zone.</t>
  </si>
  <si>
    <t>Thème</t>
  </si>
  <si>
    <t>Donnée</t>
  </si>
  <si>
    <t>Fichier et champs MAELIA</t>
  </si>
  <si>
    <t>Priorité</t>
  </si>
  <si>
    <t>Ce qu'on a aujourd'hui</t>
  </si>
  <si>
    <t>Qualité</t>
  </si>
  <si>
    <t>Sources</t>
  </si>
  <si>
    <t>Accès, licence</t>
  </si>
  <si>
    <t>À faire, remarques</t>
  </si>
  <si>
    <t>Climat</t>
  </si>
  <si>
    <t>Pluie journalière</t>
  </si>
  <si>
    <t>meteo/observee/&lt;année&gt;.csv : RRmm</t>
  </si>
  <si>
    <t>1 — bloquant</t>
  </si>
  <si>
    <t>Normale annuelle 1981-2010 seulement (raster Météo-France krigé à 10 m, data/gis/05_Pluviométrie) et une classe par parcelle. Aucune série journalière.</t>
  </si>
  <si>
    <t>Météo-France, données climatologiques de base quotidiennes (toutes les stations, outre-mer compris, par département) ; stations INRAE via CLIMATIK (Le Moule – Gardel y figure ; Duclos et Godet à vérifier).</t>
  </si>
  <si>
    <t>https://www.data.gouv.fr/datasets/donnees-climatologiques-de-base-quotidiennes</t>
  </si>
  <si>
    <t>Météo-France : Licence Ouverte 2.0. CLIMATIK : identifiants INRAE (intranet)</t>
  </si>
  <si>
    <t>Télécharger les postes du 971 ; viser 20 ans, comme le demande la formation. Liste des paramètres par poste à lire dans le descriptif des champs du jeu.</t>
  </si>
  <si>
    <t>Températures minimale et maximale journalières</t>
  </si>
  <si>
    <t>meteo/observee/&lt;année&gt;.csv : Tmin, Tmax</t>
  </si>
  <si>
    <t>Rien.</t>
  </si>
  <si>
    <t>Mêmes sources que la pluie ; moins de postes mesurent la température.</t>
  </si>
  <si>
    <t>Licence Ouverte 2.0</t>
  </si>
  <si>
    <t>Vérifier la couverture en altitude (Basse-Terre).</t>
  </si>
  <si>
    <t>Rayonnement global journalier</t>
  </si>
  <si>
    <t>meteo/observee/&lt;année&gt;.csv : RGI (MJ/m²/j d'après le guide, W/m² d'après le support de formation : à confirmer)</t>
  </si>
  <si>
    <t>obligatoire — une chaîne sans rayonnement est inutilisable</t>
  </si>
  <si>
    <t>Quelques stations synoptiques et INRAE ; en repli les réanalyses ERA5-Land ou AgERA5 (Copernicus) et NASA POWER, grossières pour une île à relief.</t>
  </si>
  <si>
    <t>https://cds.climate.copernicus.eu/datasets/sis-agrometeorological-indicators</t>
  </si>
  <si>
    <t>Gratuit, compte Copernicus et licence du service ; NASA POWER libre</t>
  </si>
  <si>
    <t>Comparer la réanalyse à une station avant de s'y fier.</t>
  </si>
  <si>
    <t>ETP Penman-Monteith journalière</t>
  </si>
  <si>
    <t>meteo/observee/&lt;année&gt;.csv : ETP (mm)</t>
  </si>
  <si>
    <t>ETP fournie par Météo-France pour certains postes ; sinon à calculer (FAO-56) à partir de T, humidité, vent et rayonnement (méthode FAO-56).</t>
  </si>
  <si>
    <t>Météo-France : Licence Ouverte 2.0 ; FAO-56 en libre lecture</t>
  </si>
  <si>
    <t>Choisir une seule méthode pour toute l'île. Le fichier météo n'a pas de colonne d'humidité de l'air, alors qu'un déclencheur de traitement s'appelle hygrométrie.</t>
  </si>
  <si>
    <t>Grille climatique</t>
  </si>
  <si>
    <t>polygonesMeteoFrance.shp : ID_PDG, POSX, POSY, ALTI_MOY</t>
  </si>
  <si>
    <t>Pas de maille SAFRAN outre-mer. Le raster des normales de pluie et le MNT permettent de découper des zones.</t>
  </si>
  <si>
    <t>À construire : polygones autour des stations, recoupés par classes de pluie et d'altitude.</t>
  </si>
  <si>
    <t>Demander à l'équipe MAELIA le système de coordonnées attendu hors métropole.</t>
  </si>
  <si>
    <t>Gradient spatial de pluie</t>
  </si>
  <si>
    <t>sert à construire la grille</t>
  </si>
  <si>
    <t>utile</t>
  </si>
  <si>
    <t>Pluvio_1981-2010_MF_kriging_spher_10m.tif et PLUVIO_PARC par parcelle.</t>
  </si>
  <si>
    <t>Météo-France, normales 1981-2010 krigées (couche fournie au projet MOSAICA).</t>
  </si>
  <si>
    <t>Local (data/gis/, non versionné) ; conditions de réutilisation à préciser</t>
  </si>
  <si>
    <t>Sert à redresser les séries de station par zone ; annuel seulement.</t>
  </si>
  <si>
    <t>Projections climatiques journalières (20 ans au moins, avec rayonnement)</t>
  </si>
  <si>
    <t>meteo/simulee/&lt;scénario&gt;/&lt;année&gt;.csv</t>
  </si>
  <si>
    <t>pour les scénarios climatiques</t>
  </si>
  <si>
    <t>2 — azote, robustesse</t>
  </si>
  <si>
    <t>Rien en local.</t>
  </si>
  <si>
    <t>DRIAS diffuse les projections C3AF : quotidiennes, aux stations (69 pluviomètres, 17 postes thermiques sur les Antilles), RCP 8.5 seul, 1980-2013 et 2031-2080, pluie et températures seulement. Les projections Outre-mer à 3 km (SocleOM-climat-2025) arrivent sur DRIAS au cours de 2026. En complément, NEX-GDDP-CMIP6 (0,25°, avec rayonnement).</t>
  </si>
  <si>
    <t>https://www.drias-climat.fr/</t>
  </si>
  <si>
    <t>DRIAS : gratuit, sur compte ; NEX-GDDP : libre</t>
  </si>
  <si>
    <t>C3AF n'a ni rayonnement ni ETP : inutilisable seul pour MAELIA. Suivre la mise en ligne des données à 3 km ; viser deux narratifs contrastés.</t>
  </si>
  <si>
    <t>Sols</t>
  </si>
  <si>
    <t>Carte des sols et zonage</t>
  </si>
  <si>
    <t>typeDeSolParZH.shp : ID_SOL, STU_DOM, ZONE_PEDO</t>
  </si>
  <si>
    <t>Carte Colmet-Daage–Brossard (26 unités cartographiques, 18 types simplifiés, data/gis/04_Pédologie), TYPE_SOL (5 groupes) et TYPE_SOL_INIT par parcelle.</t>
  </si>
  <si>
    <t>Cartes Colmet-Daage numérisées par l'IRD (1/20 000, 1961, GeoTIFF) dans DataSuds-geo ; la Guadeloupe n'est pas dans la liste des référentiels régionaux du GIS Sol (mail de l'équipe MAELIA). L'équipe propose d'intégrer les données fournies à son système d'information.</t>
  </si>
  <si>
    <t>https://datasuds-geo.ird.fr/</t>
  </si>
  <si>
    <t>Copie locale ; DataSuds : licence à vérifier par carte</t>
  </si>
  <si>
    <t>Traduire la légende en ZONE_PEDO et en unités de sol.</t>
  </si>
  <si>
    <t>Lien îlot → sol</t>
  </si>
  <si>
    <t>ilots.shp : ID_SOL</t>
  </si>
  <si>
    <t>Croisement RPG × pédologie déjà fait (RPG_2017_GC_MG_Pédologie).</t>
  </si>
  <si>
    <t>Local</t>
  </si>
  <si>
    <t>Sol dominant par îlot, une fois les ID_SOL définis.</t>
  </si>
  <si>
    <t>Profondeurs des horizons et profondeur enracinable</t>
  </si>
  <si>
    <t>P1..P4, PRO, PRO_OC, CSTRU</t>
  </si>
  <si>
    <t>SOL_COURT par parcelle (sol squelettique) ; Data_Sol PROF (couche de carbone).</t>
  </si>
  <si>
    <t>Carte Colmet-Daage (ORSTOM) et ses notices ; synthèses et analyses INRAE Antilles-Guyane (UR ASTRO) ; RMQS du GIS Sol (10 sites en Guadeloupe en 2006, 42 points dans la campagne en cours : pH, carbone, azote, granulométrie, pas d'hydrodynamique) ; SoilGrids en repli</t>
  </si>
  <si>
    <t>https://www.gissol.fr/le-gis/programmes/rmqs-34</t>
  </si>
  <si>
    <t>Publications ; données RMQS sur demande au GIS Sol</t>
  </si>
  <si>
    <t>CSTRU vaut 0,9 par défaut.</t>
  </si>
  <si>
    <t>Texture et cailloux par horizon</t>
  </si>
  <si>
    <t>ARG, LIM, SAB, EG (CX)</t>
  </si>
  <si>
    <t>Carte Colmet-Daage (ORSTOM) et ses notices ; synthèses et analyses INRAE Antilles-Guyane (UR ASTRO) ; RMQS du GIS Sol (10 sites en Guadeloupe en 2006, 42 points dans la campagne en cours : pH, carbone, azote, granulométrie, pas d'hydrodynamique) ; SoilGrids en repli (250 m)</t>
  </si>
  <si>
    <t>https://soilgrids.org/</t>
  </si>
  <si>
    <t>Publications ; RMQS sur demande ; SoilGrids CC-BY 4.0</t>
  </si>
  <si>
    <t>La granulométrie classique décrit mal les andosols (allophanes).</t>
  </si>
  <si>
    <t>Densité apparente</t>
  </si>
  <si>
    <t>DAH1..4, DAH_OC</t>
  </si>
  <si>
    <t>Data_Sol, ligne DENS : une valeur par groupe de sol.</t>
  </si>
  <si>
    <t>Par horizon dans MAELIA, par groupe de sol ici.</t>
  </si>
  <si>
    <t>Réserve utile, capacité au champ, point de flétrissement</t>
  </si>
  <si>
    <t>RUPRH1..4, HCC1, HPFP1</t>
  </si>
  <si>
    <t>Courbes de rétention publiées par INRAE Antilles-Guyane pour vertisols, ferralsols, andosols et nitisols.</t>
  </si>
  <si>
    <t>Publications</t>
  </si>
  <si>
    <t>Les fonctions de pédotransfert tempérées (Saxton et Rawls) ne valent ni pour les andosols ni pour les vertisols.</t>
  </si>
  <si>
    <t>Conductivité à saturation et infiltrabilité</t>
  </si>
  <si>
    <t>KSAT1..4, PIRM</t>
  </si>
  <si>
    <t>RUI_PARC et DRAI_PARC (ruissellement et drainage annuels par parcelle) : indices, pas des conductivités.</t>
  </si>
  <si>
    <t>Mesures de terrain INRAE ; à défaut valeurs par type de sol avec l'équipe MAELIA.</t>
  </si>
  <si>
    <t>Les vertisols gonflants sortent du cadre d'un Ksat constant.</t>
  </si>
  <si>
    <t>Matière organique</t>
  </si>
  <si>
    <t>MO1</t>
  </si>
  <si>
    <t>PART_C_INIT par parcelle (carbone organique initial, %) : MO = C × 1,72.</t>
  </si>
  <si>
    <t>MORGWANIK ; analyses de terre.</t>
  </si>
  <si>
    <t>L'azote minéral initial du sol et la fraction stable de la matière organique (0,65 par défaut, option du lanceur) sont aussi des entrées : où les fournir, à confirmer.</t>
  </si>
  <si>
    <t>pH, C/N, calcaire</t>
  </si>
  <si>
    <t>PH1, CN1, CAL1</t>
  </si>
  <si>
    <t>Calcaire : Grande-Terre et Marie-Galante surtout.</t>
  </si>
  <si>
    <t>Parcellaire</t>
  </si>
  <si>
    <t>Géométrie des îlots et des parcelles</t>
  </si>
  <si>
    <t>ilots.shp, parcelles.shp : ID_ILOT, ID_PARCELL, ID_EXPL, SURFACE, POURCENTAG</t>
  </si>
  <si>
    <t>RPG 2017 avec pacage, pac_ilot, num_ilot, parcelle, surf_parc (data/gis/01_RPG 2017).</t>
  </si>
  <si>
    <t>RPG (ASP, diffusé par l'IGN). La version publique est anonymisée, sans numéro d'exploitation ; sa couverture de la Guadeloupe reste à vérifier.</t>
  </si>
  <si>
    <t>Niveau 2 : la version avec numéro PACAGE est réservée aux administrations, sur demande à la DAAF ; vérifier la convention qui couvre la copie locale</t>
  </si>
  <si>
    <t>ID_PARCELL = pac_ilot + « _ » + parcelle, à confirmer avec l'équipe MAELIA.</t>
  </si>
  <si>
    <t>Séquences de cultures</t>
  </si>
  <si>
    <t>parcelles.shp : SEQUENCE, CULT_REF, INDEX_DEP, EXPREST, ID_SDC</t>
  </si>
  <si>
    <t>Groupe RPG déclaré de 2012 à 2017 par parcelle (Data_RPG_Gwad_2017) ; ou le plan optimisé par MOSAICA.</t>
  </si>
  <si>
    <t>Séquences RPG Explorer (INRAE), construites sur le RPG public depuis 2015, pour la France hexagonale seulement.</t>
  </si>
  <si>
    <t>https://entrepot.recherche.data.gouv.fr/dataset.xhtml?persistentId=doi:10.57745/W8SQPZ</t>
  </si>
  <si>
    <t>RPG Explorer : Licence Etalab 2.0 ; nos séquences, niveau 2</t>
  </si>
  <si>
    <t>12 groupes, pas la culture fine ; que devient une plantation de 7 ans dans une séquence annuelle ?</t>
  </si>
  <si>
    <t>Pente</t>
  </si>
  <si>
    <t>ilots.shp : PENTE_MOY, PENTE_SWAT</t>
  </si>
  <si>
    <t>MNT de 1 à 10 m et pente par parcelle (data/gis/02_Altitude, 03_Pente).</t>
  </si>
  <si>
    <t>RGE ALTI (IGN) : le MNT à 1 m de Guadeloupe vient des levés Litto3D (IGN-SHOM). L'origine du MNT local n'est pas documentée dans ses métadonnées.</t>
  </si>
  <si>
    <t>https://geoservices.ign.fr/rgealti</t>
  </si>
  <si>
    <t>Local ; RGE ALTI diffusé gratuitement par l'IGN (licence à lire sur la fiche)</t>
  </si>
  <si>
    <t>Unité de PENTE à confirmer (% ou degrés).</t>
  </si>
  <si>
    <t>Irrigabilité</t>
  </si>
  <si>
    <t>ilots.shp : CARACT_IRR</t>
  </si>
  <si>
    <t>Réseau d'irrigation du Conseil départemental (bornes, canalisations, tampon de 800 m) et IRRIG_PARC.</t>
  </si>
  <si>
    <t>Conseil départemental de la Guadeloupe, propriétaire du réseau ; exploitation en délégation de service public (Karukér'Ô dans le Nord Grande-Terre, contrat renouvelé en 2024).</t>
  </si>
  <si>
    <t>Copie locale ; mise à jour à demander au Département</t>
  </si>
  <si>
    <t>Date du relevé à vérifier ; MOSAICA le complète par la culture observée (vigilance G.10).</t>
  </si>
  <si>
    <t>Parcelles fauchables et pâturables</t>
  </si>
  <si>
    <t>parcelles.shp : IS_FAUCHE, IS_PATURAG</t>
  </si>
  <si>
    <t>Rien par parcelle ; les deux ITK de prairie (piquet, pâturage tournant) disent le mode.</t>
  </si>
  <si>
    <t>Dire d'expert ; règle simple par ITK.</t>
  </si>
  <si>
    <t>Champs vus dans le jeu de la formation (1.4.31), absents du guide.</t>
  </si>
  <si>
    <t>Exploitations</t>
  </si>
  <si>
    <t>Liste et type des exploitations</t>
  </si>
  <si>
    <t>exploitations.csv : ID_EXPL, TYPE_EXPL</t>
  </si>
  <si>
    <t>4 638 exploitations et leur type (8 types MOSAICA, d'après Chopin et al. 2015).</t>
  </si>
  <si>
    <t>Niveau 2</t>
  </si>
  <si>
    <t>TYPE_EXPL sert à choisir l'ITK dans MAELIA : la typologie économique de MOSAICA n'est pas forcément le bon critère.</t>
  </si>
  <si>
    <t>Matériel d'irrigation</t>
  </si>
  <si>
    <t>materiel.csv : surface irrigable par jour, travail par jour ; ilots.shp : MATERIEL</t>
  </si>
  <si>
    <t>si irrigation</t>
  </si>
  <si>
    <t>Dire d'expert : Chambre d'agriculture, Conseil départemental.</t>
  </si>
  <si>
    <t>Aspersion, goutte-à-goutte : quelques types suffisent.</t>
  </si>
  <si>
    <t>Main-d'œuvre disponible</t>
  </si>
  <si>
    <t>contrainte de main-d'œuvre (avecContrainteDeMainOeuvre)</t>
  </si>
  <si>
    <t>pour le test de robustesse</t>
  </si>
  <si>
    <t>Budget d'heures par exploitation (MO_Expl_init, reconstruit à partir des ITK observés).</t>
  </si>
  <si>
    <t>Recensement agricole 2020 (UTA).</t>
  </si>
  <si>
    <t>Niveau 2. RA 2020 : public à l'EPCI ; données individuelles sous secret statistique, par le CASD après avis du Comité du secret</t>
  </si>
  <si>
    <t>Annuel dans MOSAICA. MAELIA compte par jour : 12 h par unité de main-d'œuvre, 16 h pour finir une parcelle (paramétrable). Où déclarer le nombre d'unités par exploitation, et si les chantiers faits par un tiers comptent : à confirmer.</t>
  </si>
  <si>
    <t>Outils et débits de chantier</t>
  </si>
  <si>
    <t>&lt;OT&gt;_OUTIL, &lt;OT&gt;_TEMPS de reglesDeDecisions.csv</t>
  </si>
  <si>
    <t>pour le temps de travail et l'économie</t>
  </si>
  <si>
    <t>Temps de travail par opération (Data_OTK : MO_EXPL × DOSE) ; pas de liste d'outils.</t>
  </si>
  <si>
    <t>Référentiel d'outils de la grille d'enquête ITK ; Chambre d'agriculture.</t>
  </si>
  <si>
    <t>Le matériel tropical (coupeuse de canne, câble de bananeraie) est à ajouter.</t>
  </si>
  <si>
    <t>Élevage : lots d'animaux et bâtiments</t>
  </si>
  <si>
    <t>lotsAnimaux.csv (ID_LOT, TYPE_ANIMAUX, NB_UGB, CST_ALIM, FECES, RESTITUTION_BATIMENT, ELOIGNEMENT_MIN/MAX), batiments.shp</t>
  </si>
  <si>
    <t>pour le pâturage</t>
  </si>
  <si>
    <t>Rien : l'élevage n'apparaît dans MOSAICA que par les ITK de prairie.</t>
  </si>
  <si>
    <t>Recensement agricole 2020, base nationale d'identification bovine (BDNI).</t>
  </si>
  <si>
    <t>RA : individuel par le CASD seulement ; BDNI : accès restreint</t>
  </si>
  <si>
    <t>À cadrer avec le projet CEDRE (élevage).</t>
  </si>
  <si>
    <t>Engrais et PRO</t>
  </si>
  <si>
    <t>Engrais minéraux</t>
  </si>
  <si>
    <t>engrais.csv : composition, facteurs NH₃, eqCO2, coût</t>
  </si>
  <si>
    <t>Data_OTK : teneur en N, prix unitaire ; P et K par la formule du produit.</t>
  </si>
  <si>
    <t>Engrais.csv des jeux d'exemple MAELIA (types génériques AN, Urea, NPK…).</t>
  </si>
  <si>
    <t>Faire correspondre chaque produit à un type MAELIA.</t>
  </si>
  <si>
    <t>Produits organiques locaux (fumier, compost, écumes, vinasse, bagasse)</t>
  </si>
  <si>
    <t>engrais.csv : C, N, humidité, paramètres de décomposition (K1, C2, kres…)</t>
  </si>
  <si>
    <t>Data_OTK : HUM, CARB, FHUM des amendements.</t>
  </si>
  <si>
    <t>Analyses INRAE/CIRAD des produits locaux ; paramètres de décomposition par analogie avec un produit du fichier MAELIA.</t>
  </si>
  <si>
    <t>Les paramètres de décomposition demandent des incubations : analogie d'abord.</t>
  </si>
  <si>
    <t>Gisements annuels de PRO</t>
  </si>
  <si>
    <t>engrais.csv : QuantiteDispoAnnuelleT</t>
  </si>
  <si>
    <t>Sucreries et distilleries, ADEME, Chambre d'agriculture.</t>
  </si>
  <si>
    <t>À 0, le produit n'est jamais épandu ; 1000000000 = illimité. Stock géré au niveau du territoire ou de l'exploitation ; un délai de retour par produit. En 1.4.31 : parametres/engrais_qte_annuelle_dispo.csv.</t>
  </si>
  <si>
    <t>Prix et redevance de l'eau</t>
  </si>
  <si>
    <t>prixEau.csv, redevanceEau.csv</t>
  </si>
  <si>
    <t>Un forfait par hectare (EAU_IRRIG, MAT_IRRIG dans Data_OTK), pas un prix au m³.</t>
  </si>
  <si>
    <t>Tarif du réseau départemental : une part fixe et une part au m³ (0,09 € HT/m³ au total en 2012, rapport du délégataire) ; Office de l'eau Guadeloupe (redevances).</t>
  </si>
  <si>
    <t>https://www.cg971.fr/wp-content/uploads/2020/07/CRF-V2-RAPPORT-2012-Guadeloupe-Irrigation-modif-suite-demande-SD-19-11-13.pdf</t>
  </si>
  <si>
    <t>Public ; tarif en vigueur à demander au Département</t>
  </si>
  <si>
    <t>MAELIA attend un prix par m³ et par type de ressource (nappe, surface, retenue, canal).</t>
  </si>
  <si>
    <t>Prix du carburant</t>
  </si>
  <si>
    <t>module économique (grille d'enquête : GNR, €/L)</t>
  </si>
  <si>
    <t>pour les sorties économiques</t>
  </si>
  <si>
    <t>Prix maximaux fixés chaque mois par arrêté préfectoral (code de l'énergie, R. 671-1 et suivants), publiés au recueil des actes administratifs de la préfecture.</t>
  </si>
  <si>
    <t>Public</t>
  </si>
  <si>
    <t>Le gazole non routier est-il dans l'arrêté ? À vérifier.</t>
  </si>
  <si>
    <t>Séries de prix pluriannuelles</t>
  </si>
  <si>
    <t>prixVentes&lt;SC&gt;.csv : une colonne par an</t>
  </si>
  <si>
    <t>pour les scénarios de prix</t>
  </si>
  <si>
    <t>2017 ; les années 2018-2022 en sont des copies.</t>
  </si>
  <si>
    <t>DAAF Guadeloupe (bulletins de conjoncture Agreste), ODEADOM.</t>
  </si>
  <si>
    <t>Les bulletins donnent des prix par filière, pas toujours par culture fine.</t>
  </si>
  <si>
    <t>Validation</t>
  </si>
  <si>
    <t>Rendements observés par culture et par an</t>
  </si>
  <si>
    <t>sert à caler RENDEMENT_OPTIMAL et à valider</t>
  </si>
  <si>
    <t>indispensable au calage</t>
  </si>
  <si>
    <t>Rdt_Cult, sans série annuelle.</t>
  </si>
  <si>
    <t>Agreste Guadeloupe (mémentos, bulletins de conjoncture : surfaces, productions ; canne : tonnage broyé et rendement moyen), interprofession canne et CTCS pour le détail par bassin, LPG pour la banane.</t>
  </si>
  <si>
    <t>https://daaf.guadeloupe.agriculture.gouv.fr/IMG/pdf/agreste_memento_2022_guadeloupe.pdf</t>
  </si>
  <si>
    <t>Agreste public ; détail par bassin ou par exploitation à demander aux filières</t>
  </si>
  <si>
    <t>C'est ici que la vigilance C.1 se règle ou se déplace.</t>
  </si>
  <si>
    <t>Jeux expérimentaux pour calibrer AqYield en tropical</t>
  </si>
  <si>
    <t>humidité et azote du sol, biomasse, LAI</t>
  </si>
  <si>
    <t>pour créer une espèce</t>
  </si>
  <si>
    <t>Essais INRAE Antilles-Guyane et CIRAD ; LAI par télédétection (Sentinel-2).</t>
  </si>
  <si>
    <t>Essais : à demander aux équipes ; Sentinel-2 : libre</t>
  </si>
  <si>
    <t>Commencer par une culture pilote (igname ou melon), puis la canne.</t>
  </si>
  <si>
    <t>Référentiels</t>
  </si>
  <si>
    <t>Limites administratives</t>
  </si>
  <si>
    <t>communes.shp, departement.shp</t>
  </si>
  <si>
    <t>optionnel (un avertissement s'il manque) ; le département sert aux aides couplées</t>
  </si>
  <si>
    <t>Code commune par parcelle ; pas la couche.</t>
  </si>
  <si>
    <t>ADMIN EXPRESS (IGN).</t>
  </si>
  <si>
    <t>https://geoservices.ign.fr/adminexpress</t>
  </si>
  <si>
    <t>Téléchargement direct.</t>
  </si>
  <si>
    <t>Calendrier</t>
  </si>
  <si>
    <t>date/joursParMois.csv</t>
  </si>
  <si>
    <t>Contenu fixe, donné dans le guide.</t>
  </si>
  <si>
    <t>Guide MAELIA.</t>
  </si>
  <si>
    <t>À recopier tel quel.</t>
  </si>
  <si>
    <t>Contour du terrain et zone hydrographique minimale</t>
  </si>
  <si>
    <t>contourZH.shp, ZH.shp ; ID_ZH dans ilots.shp et typeDeSolParZH.shp</t>
  </si>
  <si>
    <t>obligatoire, à confirmer</t>
  </si>
  <si>
    <t>Contour des îles (par le RPG ou les communes) ; 230 bassins versants.</t>
  </si>
  <si>
    <t>Les deux jeux d'exemple gardent ces fichiers alors que le module hydrologique est coupé (une seule zone dans terrainTest).</t>
  </si>
  <si>
    <t>Hydrologie</t>
  </si>
  <si>
    <t>Bassins versants élémentaires et leur chaînage</t>
  </si>
  <si>
    <t>ZH.shp : ID_ZH, ID_ND_EXUT</t>
  </si>
  <si>
    <t>module hydrologique</t>
  </si>
  <si>
    <t>3 — modules optionnels</t>
  </si>
  <si>
    <t>230 bassins de 50 ha et plus avec exutoires (data/gis/10_Bassins versants) et bassin de chaque parcelle.</t>
  </si>
  <si>
    <t>Nos bassins, tirés du MNT. La BD TOPAGE Guadeloupe (Sandre) donne cours d'eau, plans d'eau et tronçons, mais pas encore de bassins versants.</t>
  </si>
  <si>
    <t>https://www.data.gouv.fr/datasets/bd-topage-r-guadeloupe-2026</t>
  </si>
  <si>
    <t>Local ; BD TOPAGE : Licence Ouverte 2.0</t>
  </si>
  <si>
    <t>La table de chaînage amont-aval reste à écrire.</t>
  </si>
  <si>
    <t>Relief</t>
  </si>
  <si>
    <t>MNT, pente (alti25m, pente_percent)</t>
  </si>
  <si>
    <t>MNT de 1 à 10 m.</t>
  </si>
  <si>
    <t>RGE ALTI (IGN).</t>
  </si>
  <si>
    <t>Géomorphologie SWAT et HRU</t>
  </si>
  <si>
    <t>donneesMNT_ZH.csv, hru_*.shp</t>
  </si>
  <si>
    <t>À produire avec ArcSWAT ou QSWAT.</t>
  </si>
  <si>
    <t>Un projet en soi.</t>
  </si>
  <si>
    <t>Occupation du sol</t>
  </si>
  <si>
    <t>clc/</t>
  </si>
  <si>
    <t>KaruCover (KaruGéo) : occupation du sol à grande échelle, 77 postes, 2004, 2010, 2017 et 2022, compatible OCS GE. En repli, Corine Land Cover (DOM couverts, unité minimale 25 ha).</t>
  </si>
  <si>
    <t>https://www.karugeo.fr/accueil/actualites/92_224/karucover_ocs2d__une_donnee_de_reference</t>
  </si>
  <si>
    <t>KaruGéo : consultation libre, conditions de téléchargement à vérifier ; CLC libre</t>
  </si>
  <si>
    <t>KaruCover 2017 est contemporain du RPG utilisé par MOSAICA.</t>
  </si>
  <si>
    <t>Réseau hydrographique, retenues, canaux</t>
  </si>
  <si>
    <t>troncons/, retenuesCollinaires/, canaux/</t>
  </si>
  <si>
    <t>Ouvrages et canalisations du réseau d'irrigation.</t>
  </si>
  <si>
    <t>BD TOPO (IGN), BD TOPAGE Guadeloupe, Conseil départemental (ouvrages d'irrigation).</t>
  </si>
  <si>
    <t>https://geoservices.ign.fr/bdtopo</t>
  </si>
  <si>
    <t>Prélèvements et rejets</t>
  </si>
  <si>
    <t>equipements/ (points de prélèvement)</t>
  </si>
  <si>
    <t>Périmètres de protection des captages (PPE, PPI, PPR).</t>
  </si>
  <si>
    <t>Banque nationale des prélèvements en eau (BNPE), qui couvre les DOM : volumes annuels par ouvrage et par usage.</t>
  </si>
  <si>
    <t>https://bnpe.eaufrance.fr/</t>
  </si>
  <si>
    <t>Libre</t>
  </si>
  <si>
    <t>Annuel seulement.</t>
  </si>
  <si>
    <t>Débits observés</t>
  </si>
  <si>
    <t>calage du module hydrologique</t>
  </si>
  <si>
    <t>Réseau hydrométrique de la DEAL (HydroPortail, bulletins hydrologiques) ; Observatoire de l'eau de Guadeloupe.</t>
  </si>
  <si>
    <t>https://www.hydro.eaufrance.fr/</t>
  </si>
  <si>
    <t>La DEAL signale des courbes de tarage en consolidation et des lacunes en 2024.</t>
  </si>
  <si>
    <t>Normatif</t>
  </si>
  <si>
    <t>Débits de référence, restrictions, règles des barrages</t>
  </si>
  <si>
    <t>pointsDeReference.shp, seuilsDeRestriction.csv, barrage.csv</t>
  </si>
  <si>
    <t>module normatif</t>
  </si>
  <si>
    <t>Arrêté cadre sécheresse (DEAL/RN n° 971-2023-07-06-0009) : seuils de vigilance, d'alerte et de crise à 7 stations ; SDAGE Guadeloupe.</t>
  </si>
  <si>
    <t>https://www.guadeloupe.developpement-durable.gouv.fr/</t>
  </si>
  <si>
    <t>Les règles de gestion des retenues restent à obtenir.</t>
  </si>
  <si>
    <t>Indicateurs</t>
  </si>
  <si>
    <t>Biodiversité (i-Bio) et érosion</t>
  </si>
  <si>
    <t>parcelles.shp : IBIO_LCD, IBIO_HSN, IBIO_CONN ; texture, matière organique et pente pour l'érosion</t>
  </si>
  <si>
    <t>ZNIEFF, pente ; pas d'indicateur de paysage.</t>
  </si>
  <si>
    <t>À calculer par SIG.</t>
  </si>
  <si>
    <t>Modules présentés à la formation ; champs IBIO vus dans le jeu 1.4.31.</t>
  </si>
  <si>
    <t>Zonages réglementaires</t>
  </si>
  <si>
    <t>plan d'épandage (engrais.csv : plan_epandage), zones vulnérables, captages</t>
  </si>
  <si>
    <t>Périmètres de protection des captages, ZNIEFF, risque chlordécone par parcelle.</t>
  </si>
  <si>
    <t>DEAL Guadeloupe ; KaruGéo diffuse les cartes de chlordécone dans les sols.</t>
  </si>
  <si>
    <t>https://www.karugeo.fr/</t>
  </si>
  <si>
    <t>Local ; KaruGéo en consultation libre</t>
  </si>
  <si>
    <t>La grille d'enquête ITK demande les réglementations du territoire.</t>
  </si>
  <si>
    <t>Filières</t>
  </si>
  <si>
    <t>Unités de transformation, recettes, transport</t>
  </si>
  <si>
    <t>UT.shp, UP.shp, recettes.csv, produits.csv, routes.shp</t>
  </si>
  <si>
    <t>module filières</t>
  </si>
  <si>
    <t>Quotas et capacités par filière dans les contraintes de MOSAICA.</t>
  </si>
  <si>
    <t>Sucreries, distilleries, centrale bagasse-biomasse ; OpenStreetMap (routes).</t>
  </si>
  <si>
    <t>https://www.openstreetmap.org/</t>
  </si>
  <si>
    <t>Synthèse : où en sont les données pour MAELIA en Guadeloupe</t>
  </si>
  <si>
    <t>Moyenne des notes (0 à 3) ; les cellules sans objet ne comptent pas. Tout est recalculé depuis les feuilles Cultures et Autres données.</t>
  </si>
  <si>
    <t>Par famille de cultures</t>
  </si>
  <si>
    <t>Variantes</t>
  </si>
  <si>
    <t>Par thème, hors cultures</t>
  </si>
  <si>
    <t>Données</t>
  </si>
  <si>
    <t>Qualité moyenne</t>
  </si>
  <si>
    <t>Données à 0</t>
  </si>
  <si>
    <t>Ce qu'une meilleure donnée ne réglera pas</t>
  </si>
  <si>
    <t>Cultures tropicales</t>
  </si>
  <si>
    <t>Hors la jachère (« gel »), aucune culture de MOSAICA n'existe dans la base d'espèces de MAELIA. Chacune est à créer, avec le référent thématique : une colonne complète dans le fichier des espèces (la formation le fait avec « mon_espece »).</t>
  </si>
  <si>
    <t>Plantations pluriannuelles</t>
  </si>
  <si>
    <t>Canne (3 à 7 ans), banane (8 à 15 ans), agrumes et vergers (15 ans), ananas (18 mois) : la séquence MAELIA est annuelle et un ITK décrit une année, semis et récolte compris. Aucun mécanisme documenté ; vergers et vignes ne figurent pas dans le référentiel d'espèces de la grille d'enquête.</t>
  </si>
  <si>
    <t>Plafonds d'un ITK</t>
  </si>
  <si>
    <t>La grille d'enquête ITK prévoit un semis et une récolte par ITK, 4 apports, 8 traitements, 5 désherbages, 4 préparations du sol (les apports s'entendent par stratégie de fertilisation). 21 cultures sur 75 en sortent, soit 3614 ha observés en 2017, jusqu'à 34 passages de récolte par an pour BA_INT : colonne Dépassements de la feuille Cultures.</t>
  </si>
  <si>
    <t>Récolte</t>
  </si>
  <si>
    <t>La récolte attend la maturité en degrés-jours, puis elle est forcée en fin de fenêtre. Une campagne fixée par l'usine (canne) ou une récolte continue (banane, maraîchage) ne se décrivent pas ainsi.</t>
  </si>
  <si>
    <t>HerbSim ne connaît que 7 espèces tempérées et 5 types de graminées : les prairies naturelles tropicales, un quart de la surface observée, n'ont pas de paramètres. L'azote n'est plus un obstacle : le jeu de la formation fait tourner des prairies fauchées et pâturées avec AqYieldNC (HerbSimNC).</t>
  </si>
  <si>
    <t>Rendement potentiel</t>
  </si>
  <si>
    <t>RENDEMENT_OPTIMAL reste une entrée : le remplir avec Rdt_Cult reporterait la surestimation des rendements (vigilance C.1) dans MAELIA.</t>
  </si>
  <si>
    <t>Opérations sans type MAELIA</t>
  </si>
  <si>
    <t>Effeuillage, tuteurage, ensachage, emballage, soins aux animaux : jusqu'à 85 % des heures de la banane disparaissent à la traduction.</t>
  </si>
  <si>
    <t>Choix de l'ITK</t>
  </si>
  <si>
    <t>MOSAICA choisit la variante d'ITK, MAELIA la déduit de la situation. Deux pistes pour imposer une variante par parcelle sans créer une espèce par variante : la séquence de référence (ID_SDC de la parcelle, IDS_SDCS de l'ITK) et le critère libre CRIT_SPAT_ADHOC. À vérifier avec l'équipe.</t>
  </si>
  <si>
    <t>Calendrier tempéré</t>
  </si>
  <si>
    <t>La première année démarre en août ; un frein hivernal, un drapeau « culture d'hiver » et une fauche de fin d'été au 1er août sont dans le modèle. À passer en revue pour un climat sans hiver.</t>
  </si>
  <si>
    <t>Mécanisation</t>
  </si>
  <si>
    <t>D'après la note de 2022, les entrées OUTIL, PASSAGES et AGRIW n'ont pas d'effet sur la simulation : aucun conflit de matériel n'est simulé. À revérifier en 1.4.31.</t>
  </si>
  <si>
    <t>Fichiers</t>
  </si>
  <si>
    <t>Les csv et dbf de MAELIA ne se modifient pas dans Excel (séparateurs, décimales). Ce classeur sert à piloter la collecte, pas à saisir les données.</t>
  </si>
  <si>
    <t>À confirmer avec l'équipe MAELIA</t>
  </si>
  <si>
    <t>Format des fichiers</t>
  </si>
  <si>
    <t>Le guide (août 2026) place especesCultivees.csv et Engrais.csv dans culture/ et Engrais/. Le jeu de la formation (MAELIA 1.4.31) lit un dossier parametres/ : une case vide prend la valeur de la base MAELIA, une espèce nouvelle demande une colonne complète. Les lignes d'ITK y sont renommées (TRAVAIL_SOL, DESHERBAGE_MECA, PATURE). Quel format viser ?</t>
  </si>
  <si>
    <t>Variante d'ITK par parcelle</t>
  </si>
  <si>
    <t>ID_SDC et CRIT_SPAT_ADHOC permettent-ils d'imposer la variante choisie par MOSAICA sans créer une espèce par variante ?</t>
  </si>
  <si>
    <t>Plafonds et récoltes multiples</t>
  </si>
  <si>
    <t>Nombre maximal d'opérations par ITK dans la version courante ; comment décrire 34 passages de récolte par an.</t>
  </si>
  <si>
    <t>Main-d'œuvre</t>
  </si>
  <si>
    <t>Où déclarer le nombre d'unités de main-d'œuvre par exploitation ; les chantiers faits par un tiers (coupe de la canne) consomment-ils le temps de l'agriculteur ?</t>
  </si>
  <si>
    <t>Module économique</t>
  </si>
  <si>
    <t>Quels fichiers la version courante lit-elle : prixVentes, primes, chargesOp et chargesDePassage du guide, ou les prix unitaires de la grille d'enquête ? Unité de prixVentes (le guide imprime €/ha).</t>
  </si>
  <si>
    <t>Zone hydrographique</t>
  </si>
  <si>
    <t>Faut-il au moins une zone hydrographique et un contour quand le module hydrologique est coupé ?</t>
  </si>
  <si>
    <t>Géographie</t>
  </si>
  <si>
    <t>Système de coordonnées attendu hors métropole ; POSX et POSY de la grille météo sont décrits en Lambert II étendu.</t>
  </si>
  <si>
    <t>Météo</t>
  </si>
  <si>
    <t>Unité du rayonnement (MJ/m²/j ou W/m²) ; d'où vient l'humidité de l'air du déclencheur hygrométrie.</t>
  </si>
  <si>
    <t>État initial du sol</t>
  </si>
  <si>
    <t>Azote minéral initial par couche et fraction stable de la matière organique : fichier ou valeurs par défaut ?</t>
  </si>
  <si>
    <t>Climat sans hiver</t>
  </si>
  <si>
    <t>FREIN = 1, IS_CULTURE_HIVER, démarrage en août, stress de gel : quels réglages pour un terrain tropical ?</t>
  </si>
  <si>
    <t>Inventaire des données pour instancier MAELIA en Guadeloupe</t>
  </si>
  <si>
    <t>Généré le 14/10/2026 à partir des tables MOSAICA (année 2017, scénario RESTIT) et de la documentation MAELIA.</t>
  </si>
  <si>
    <t>L'échelle</t>
  </si>
  <si>
    <t>Absente et difficile à obtenir</t>
  </si>
  <si>
    <t>Ni dans MOSAICA ni dans un référentiel : expérimentation, calibration ou enquête lourde.</t>
  </si>
  <si>
    <t>Absente mais accessible</t>
  </si>
  <si>
    <t>Pas dans MOSAICA, mais publiée ou récupérable vite : littérature, base publique, dire d'expert.</t>
  </si>
  <si>
    <t>Disponible, à retravailler</t>
  </si>
  <si>
    <t>Une valeur existe : proxy, valeur par famille, autre unité ou définition, niveau discutable.</t>
  </si>
  <si>
    <t>Disponible et utilisable</t>
  </si>
  <si>
    <t>Dans les tables de MOSAICA, à la bonne maille : une simple mise en forme suffit.</t>
  </si>
  <si>
    <t>Sans objet</t>
  </si>
  <si>
    <t>Le paramètre ne concerne pas cette culture (pas d'irrigation, pas de travail du sol, prairie simulée par HerbSim, jachère sans ITK).</t>
  </si>
  <si>
    <t>Les feuilles</t>
  </si>
  <si>
    <t>Synthèse</t>
  </si>
  <si>
    <t>Score moyen par famille de cultures et par thème, et les verrous qui ne tiennent pas aux données.</t>
  </si>
  <si>
    <t>Cultures</t>
  </si>
  <si>
    <t>75 cultures fines de MOSAICA × 50 paramètres MAELIA. Survoler un en-tête de colonne affiche le sens du paramètre et la règle de notation.</t>
  </si>
  <si>
    <t>Paramètres</t>
  </si>
  <si>
    <t>Le dictionnaire des colonnes : ce que MOSAICA a, comment la note est donnée, où chercher, et la surface concernée par chaque manque.</t>
  </si>
  <si>
    <t>Autres données</t>
  </si>
  <si>
    <t>48 jeux de données hors cultures (climat, sols, parcellaire, exploitations, hydrologie…), avec leurs sources et leurs liens.</t>
  </si>
  <si>
    <t>Comment les notes sont données</t>
  </si>
  <si>
    <t>Notes calculées</t>
  </si>
  <si>
    <t>Quand la donnée se lit dans les tables de MOSAICA (rendement, opérations, temps de travail, doses, prix, aides, charges), la note est calculée culture par culture. Elle est plafonnée à 2 quand la valeur est un proxy ou que son niveau est discuté.</t>
  </si>
  <si>
    <t>Notes appréciées</t>
  </si>
  <si>
    <t>Quand la donnée manque (phénologie, Kc, réponse à l'eau, besoins en azote, calendrier), la note dit seulement si une référence publiée existe pour la plante : 1 si oui, 0 sinon. C'est une appréciation à faire valider par les agronomes ; les pistes de sources n'ont pas été vérifiées une à une.</t>
  </si>
  <si>
    <t>Variantes d'une même plante</t>
  </si>
  <si>
    <t>Les paramètres d'espèce sont communs à toutes les variantes d'une plante (les 18 cannes à sucre, les 4 bananes) : seuls l'ITK, le rendement et l'économie les distinguent.</t>
  </si>
  <si>
    <t>Surface 2017</t>
  </si>
  <si>
    <t>Surface observée, ventilée sur les cultures fines par les règles GAMS d'attribution des ITK. Elle sert à pondérer : un manque sur la canne pèse plus qu'un manque sur le melon.</t>
  </si>
  <si>
    <t>Corriger une note</t>
  </si>
  <si>
    <t>Les notes se modifient dans la feuille Cultures (liste déroulante) ; couleurs, moyennes et Synthèse suivent. Relancer le script écrase ces corrections : pour les garder, les reporter dans le script.</t>
  </si>
  <si>
    <t>Sources MAELIA et versions</t>
  </si>
  <si>
    <t>Guide de l'utilisateur</t>
  </si>
  <si>
    <t>Version d'août 2026 : structure des fichiers, application ITK. Tables parfois tronquées.</t>
  </si>
  <si>
    <t>Note de 2022</t>
  </si>
  <si>
    <t>Note d'accompagnement à la préparation des données d'entrée : champs obligatoires des sols, couples de règles de déclenchement.</t>
  </si>
  <si>
    <t>Formation de septembre 2026</t>
  </si>
  <si>
    <t>Supports, grille d'enquête ITK (version 1.4.22) et deux jeux d'exemple : terrainTest et le jeu du TD, simulé avec MAELIA 1.4.31.</t>
  </si>
  <si>
    <t>Quand les sources divergent</t>
  </si>
  <si>
    <t>Le jeu 1.4.31 fait foi, parce qu'il a tourné : dossier parametres/, lignes d'ITK renommées, prairies simulées avec l'azote, économie facultative. Les points douteux sont listés en bas de la feuille Synthèse.</t>
  </si>
  <si>
    <t>Liens utiles</t>
  </si>
  <si>
    <t>Documentation MAELIA</t>
  </si>
  <si>
    <t>https://maelia.pages-forge.inrae.fr/documentation</t>
  </si>
  <si>
    <t>Documentation MAELIA — données d'entrée</t>
  </si>
  <si>
    <t>Application ITK (compte : Renaud Misslin, MAELAB)</t>
  </si>
  <si>
    <t>Forum MAELIA</t>
  </si>
  <si>
    <t>https://forum-maelia.discourse.group/</t>
  </si>
  <si>
    <t>Site MAELIA</t>
  </si>
  <si>
    <t>https://www.maelia-iam.fr/</t>
  </si>
  <si>
    <t>Régénérer</t>
  </si>
  <si>
    <t>.venv/Scripts/python clement/maelia/build_inventaire_donnees_maelia.py</t>
  </si>
  <si>
    <t>Pour aller plus loin : docs/maelia/README.md, crop-parameters.md et coupling-todo.md dans le dépôt MOSAICA.</t>
  </si>
</sst>
</file>

<file path=xl/styles.xml><?xml version="1.0" encoding="utf-8"?>
<styleSheet xmlns="http://schemas.openxmlformats.org/spreadsheetml/2006/main">
  <numFmts count="3">
    <numFmt numFmtId="164" formatCode="# ##0"/>
    <numFmt numFmtId="165" formatCode="0.0"/>
    <numFmt numFmtId="166" formatCode="0%"/>
  </numFmts>
  <fonts count="10">
    <font>
      <sz val="11"/>
      <color theme="1"/>
      <name val="Calibri"/>
      <family val="2"/>
      <scheme val="minor"/>
    </font>
    <font>
      <b/>
      <sz val="14"/>
      <color rgb="FF1F2937"/>
      <name val="Calibri"/>
      <family val="2"/>
      <scheme val="minor"/>
    </font>
    <font>
      <i/>
      <sz val="10"/>
      <color rgb="FF6B7280"/>
      <name val="Calibri"/>
      <family val="2"/>
      <scheme val="minor"/>
    </font>
    <font>
      <b/>
      <sz val="10"/>
      <color rgb="FF1F2937"/>
      <name val="Calibri"/>
      <family val="2"/>
      <scheme val="minor"/>
    </font>
    <font>
      <sz val="10"/>
      <color rgb="FF1F2937"/>
      <name val="Calibri"/>
      <family val="2"/>
      <scheme val="minor"/>
    </font>
    <font>
      <sz val="10"/>
      <color rgb="FF9CA3AF"/>
      <name val="Calibri"/>
      <family val="2"/>
      <scheme val="minor"/>
    </font>
    <font>
      <u/>
      <sz val="10"/>
      <color rgb="FF1D4ED8"/>
      <name val="Calibri"/>
      <family val="2"/>
      <scheme val="minor"/>
    </font>
    <font>
      <sz val="10"/>
      <color rgb="FF1F2937"/>
      <name val="Consolas"/>
      <family val="2"/>
    </font>
    <font>
      <b/>
      <sz val="10"/>
      <color rgb="FFFFFFFF"/>
      <name val="Calibri"/>
      <family val="2"/>
      <scheme val="minor"/>
    </font>
    <font>
      <sz val="8"/>
      <color indexed="81"/>
      <name val="Tahoma"/>
      <family val="2"/>
    </font>
  </fonts>
  <fills count="9">
    <fill>
      <patternFill patternType="none"/>
    </fill>
    <fill>
      <patternFill patternType="gray125"/>
    </fill>
    <fill>
      <patternFill patternType="solid">
        <fgColor rgb="FFF3F4F6"/>
        <bgColor indexed="64"/>
      </patternFill>
    </fill>
    <fill>
      <patternFill patternType="solid">
        <fgColor rgb="FF1F2937"/>
        <bgColor indexed="64"/>
      </patternFill>
    </fill>
    <fill>
      <patternFill patternType="solid">
        <fgColor rgb="FFDBEAFE"/>
        <bgColor indexed="64"/>
      </patternFill>
    </fill>
    <fill>
      <patternFill patternType="solid">
        <fgColor rgb="FFE0E7FF"/>
        <bgColor indexed="64"/>
      </patternFill>
    </fill>
    <fill>
      <patternFill patternType="solid">
        <fgColor rgb="FFFEF3C7"/>
        <bgColor indexed="64"/>
      </patternFill>
    </fill>
    <fill>
      <patternFill patternType="solid">
        <fgColor rgb="FFFDE68A"/>
        <bgColor indexed="64"/>
      </patternFill>
    </fill>
    <fill>
      <patternFill patternType="solid">
        <fgColor rgb="FFE5E7EB"/>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3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2" borderId="1" xfId="0" applyFont="1" applyFill="1" applyBorder="1" applyAlignment="1">
      <alignment horizontal="center" vertical="center"/>
    </xf>
    <xf numFmtId="0" fontId="3" fillId="0" borderId="0" xfId="0" applyFont="1" applyAlignment="1">
      <alignment vertical="top"/>
    </xf>
    <xf numFmtId="0" fontId="6" fillId="0" borderId="0" xfId="0" applyFont="1" applyAlignment="1">
      <alignment vertical="top" wrapText="1"/>
    </xf>
    <xf numFmtId="0" fontId="7" fillId="0" borderId="0" xfId="0" applyFont="1" applyAlignment="1">
      <alignment vertical="center"/>
    </xf>
    <xf numFmtId="0" fontId="8" fillId="3" borderId="1" xfId="0" applyFont="1" applyFill="1" applyBorder="1" applyAlignment="1">
      <alignment vertical="center" wrapText="1"/>
    </xf>
    <xf numFmtId="0" fontId="4" fillId="0" borderId="0" xfId="0" applyFont="1" applyAlignment="1">
      <alignment horizontal="center" vertical="center"/>
    </xf>
    <xf numFmtId="164" fontId="4" fillId="0" borderId="0" xfId="0" applyNumberFormat="1" applyFont="1" applyAlignment="1">
      <alignment vertical="center"/>
    </xf>
    <xf numFmtId="165" fontId="4"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0" fontId="3" fillId="0" borderId="0" xfId="0" applyFont="1" applyAlignment="1">
      <alignment vertical="top"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8" fillId="3" borderId="0" xfId="0" applyFont="1" applyFill="1" applyAlignment="1">
      <alignment horizontal="center" vertical="center"/>
    </xf>
    <xf numFmtId="0" fontId="3" fillId="2" borderId="1" xfId="0" applyFont="1" applyFill="1" applyBorder="1" applyAlignment="1">
      <alignment horizontal="center" textRotation="90" wrapText="1"/>
    </xf>
    <xf numFmtId="166" fontId="4" fillId="0" borderId="0" xfId="0" applyNumberFormat="1" applyFont="1" applyAlignment="1">
      <alignment horizontal="center" vertical="center"/>
    </xf>
    <xf numFmtId="0" fontId="4" fillId="0" borderId="1" xfId="0" applyFont="1" applyBorder="1" applyAlignment="1">
      <alignment horizontal="center" vertical="center"/>
    </xf>
    <xf numFmtId="0" fontId="3" fillId="2" borderId="0" xfId="0" applyFont="1" applyFill="1" applyAlignment="1">
      <alignment vertical="center"/>
    </xf>
    <xf numFmtId="0" fontId="4" fillId="4" borderId="0" xfId="0" applyFont="1" applyFill="1" applyAlignment="1">
      <alignment vertical="top" wrapText="1"/>
    </xf>
    <xf numFmtId="0" fontId="4" fillId="5" borderId="0" xfId="0" applyFont="1" applyFill="1" applyAlignment="1">
      <alignment vertical="top" wrapText="1"/>
    </xf>
    <xf numFmtId="0" fontId="4" fillId="6" borderId="0" xfId="0" applyFont="1" applyFill="1" applyAlignment="1">
      <alignment vertical="top" wrapText="1"/>
    </xf>
    <xf numFmtId="0" fontId="4" fillId="7" borderId="0" xfId="0" applyFont="1" applyFill="1" applyAlignment="1">
      <alignment vertical="top" wrapText="1"/>
    </xf>
    <xf numFmtId="0" fontId="4" fillId="8" borderId="0" xfId="0" applyFont="1" applyFill="1" applyAlignment="1">
      <alignment vertical="top"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elia.pages-forge.inrae.fr/documentation" TargetMode="External"/><Relationship Id="rId2" Type="http://schemas.openxmlformats.org/officeDocument/2006/relationships/hyperlink" Target="https://maelia.pages-forge.inrae.fr/documentation/04-donnees_entree.html" TargetMode="External"/><Relationship Id="rId3" Type="http://schemas.openxmlformats.org/officeDocument/2006/relationships/hyperlink" Target="https://analytics.huma-num.fr/Renaud.Misslin/maelia_itk/" TargetMode="External"/><Relationship Id="rId4" Type="http://schemas.openxmlformats.org/officeDocument/2006/relationships/hyperlink" Target="https://forum-maelia.discourse.group/" TargetMode="External"/><Relationship Id="rId5" Type="http://schemas.openxmlformats.org/officeDocument/2006/relationships/hyperlink" Target="https://www.maelia-iam.fr/"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hyperlink" Target="https://daaf.guadeloupe.agriculture.gouv.fr/" TargetMode="External"/><Relationship Id="rId2" Type="http://schemas.openxmlformats.org/officeDocument/2006/relationships/hyperlink" Target="https://daaf.guadeloupe.agriculture.gouv.fr/" TargetMode="External"/><Relationship Id="rId3" Type="http://schemas.openxmlformats.org/officeDocument/2006/relationships/hyperlink" Target="https://daaf.guadeloupe.agriculture.gouv.fr/" TargetMode="External"/><Relationship Id="rId4" Type="http://schemas.openxmlformats.org/officeDocument/2006/relationships/hyperlink" Target="https://stics.inrae.fr/" TargetMode="External"/><Relationship Id="rId5" Type="http://schemas.openxmlformats.org/officeDocument/2006/relationships/hyperlink" Target="https://stics.inrae.fr/" TargetMode="External"/><Relationship Id="rId6" Type="http://schemas.openxmlformats.org/officeDocument/2006/relationships/hyperlink" Target="https://stics.inrae.fr/" TargetMode="External"/><Relationship Id="rId7" Type="http://schemas.openxmlformats.org/officeDocument/2006/relationships/hyperlink" Target="https://stics.inrae.fr/" TargetMode="External"/><Relationship Id="rId8" Type="http://schemas.openxmlformats.org/officeDocument/2006/relationships/hyperlink" Target="https://stics.inrae.fr/" TargetMode="External"/><Relationship Id="rId9" Type="http://schemas.openxmlformats.org/officeDocument/2006/relationships/hyperlink" Target="https://www.fao.org/4/x0490e/x0490e0b.htm" TargetMode="External"/><Relationship Id="rId10" Type="http://schemas.openxmlformats.org/officeDocument/2006/relationships/hyperlink" Target="https://maelia.pages-forge.inrae.fr/documentation/04-donnees_entree.html" TargetMode="External"/><Relationship Id="rId11" Type="http://schemas.openxmlformats.org/officeDocument/2006/relationships/hyperlink" Target="https://maelia.pages-forge.inrae.fr/documentation/04-donnees_entree.html" TargetMode="External"/><Relationship Id="rId12" Type="http://schemas.openxmlformats.org/officeDocument/2006/relationships/hyperlink" Target="https://www.fao.org/4/i2800e/i2800e.pdf" TargetMode="External"/><Relationship Id="rId13" Type="http://schemas.openxmlformats.org/officeDocument/2006/relationships/hyperlink" Target="https://maelia.pages-forge.inrae.fr/documentation/04-donnees_entree.html" TargetMode="External"/><Relationship Id="rId14" Type="http://schemas.openxmlformats.org/officeDocument/2006/relationships/hyperlink" Target="https://www.fao.org/4/x0490e/x0490e00.htm" TargetMode="External"/><Relationship Id="rId15" Type="http://schemas.openxmlformats.org/officeDocument/2006/relationships/hyperlink" Target="https://maelia.pages-forge.inrae.fr/documentation/04-donnees_entree.html" TargetMode="External"/><Relationship Id="rId16" Type="http://schemas.openxmlformats.org/officeDocument/2006/relationships/hyperlink" Target="https://stics.inrae.fr/" TargetMode="External"/><Relationship Id="rId17" Type="http://schemas.openxmlformats.org/officeDocument/2006/relationships/hyperlink" Target="https://maelia.pages-forge.inrae.fr/documentation/04-donnees_entree.html" TargetMode="External"/><Relationship Id="rId18" Type="http://schemas.openxmlformats.org/officeDocument/2006/relationships/hyperlink" Target="https://stics.inrae.fr/" TargetMode="External"/><Relationship Id="rId19" Type="http://schemas.openxmlformats.org/officeDocument/2006/relationships/hyperlink" Target="https://ciqual.anses.fr/" TargetMode="External"/><Relationship Id="rId20" Type="http://schemas.openxmlformats.org/officeDocument/2006/relationships/hyperlink" Target="https://ciqual.anses.fr/" TargetMode="External"/><Relationship Id="rId21" Type="http://schemas.openxmlformats.org/officeDocument/2006/relationships/hyperlink" Target="https://maelia.pages-forge.inrae.fr/documentation/04-donnees_entree.html" TargetMode="External"/><Relationship Id="rId22" Type="http://schemas.openxmlformats.org/officeDocument/2006/relationships/hyperlink" Target="https://stics.inrae.fr/" TargetMode="External"/><Relationship Id="rId23" Type="http://schemas.openxmlformats.org/officeDocument/2006/relationships/hyperlink" Target="https://guadeloupe.chambres-agriculture.fr/" TargetMode="External"/><Relationship Id="rId24" Type="http://schemas.openxmlformats.org/officeDocument/2006/relationships/hyperlink" Target="https://maelia.pages-forge.inrae.fr/documentation/04-donnees_entree.html" TargetMode="External"/><Relationship Id="rId25" Type="http://schemas.openxmlformats.org/officeDocument/2006/relationships/hyperlink" Target="https://maelia.pages-forge.inrae.fr/documentation/04-donnees_entree.html" TargetMode="External"/><Relationship Id="rId26" Type="http://schemas.openxmlformats.org/officeDocument/2006/relationships/hyperlink" Target="https://geoservices.ign.fr/rpg" TargetMode="External"/><Relationship Id="rId27" Type="http://schemas.openxmlformats.org/officeDocument/2006/relationships/hyperlink" Target="https://guadeloupe.chambres-agriculture.fr/" TargetMode="External"/><Relationship Id="rId28" Type="http://schemas.openxmlformats.org/officeDocument/2006/relationships/hyperlink" Target="https://guadeloupe.chambres-agriculture.fr/" TargetMode="External"/><Relationship Id="rId29" Type="http://schemas.openxmlformats.org/officeDocument/2006/relationships/hyperlink" Target="https://analytics.huma-num.fr/Renaud.Misslin/maelia_itk/" TargetMode="External"/><Relationship Id="rId30" Type="http://schemas.openxmlformats.org/officeDocument/2006/relationships/hyperlink" Target="https://guadeloupe.chambres-agriculture.fr/" TargetMode="External"/><Relationship Id="rId31" Type="http://schemas.openxmlformats.org/officeDocument/2006/relationships/hyperlink" Target="https://www.fao.org/4/x0490e/x0490e00.htm" TargetMode="External"/><Relationship Id="rId32" Type="http://schemas.openxmlformats.org/officeDocument/2006/relationships/hyperlink" Target="https://analytics.huma-num.fr/Renaud.Misslin/maelia_itk/" TargetMode="External"/><Relationship Id="rId33" Type="http://schemas.openxmlformats.org/officeDocument/2006/relationships/hyperlink" Target="https://guadeloupe.chambres-agriculture.fr/" TargetMode="External"/><Relationship Id="rId34" Type="http://schemas.openxmlformats.org/officeDocument/2006/relationships/hyperlink" Target="https://guadeloupe.chambres-agriculture.fr/" TargetMode="External"/><Relationship Id="rId35" Type="http://schemas.openxmlformats.org/officeDocument/2006/relationships/hyperlink" Target="https://www.odeadom.fr/" TargetMode="External"/><Relationship Id="rId36" Type="http://schemas.openxmlformats.org/officeDocument/2006/relationships/hyperlink" Target="https://www.odeadom.fr/" TargetMode="External"/><Relationship Id="rId37" Type="http://schemas.openxmlformats.org/officeDocument/2006/relationships/hyperlink" Target="https://guadeloupe.chambres-agriculture.f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data.gouv.fr/datasets/donnees-climatologiques-de-base-quotidiennes" TargetMode="External"/><Relationship Id="rId2" Type="http://schemas.openxmlformats.org/officeDocument/2006/relationships/hyperlink" Target="https://www.data.gouv.fr/datasets/donnees-climatologiques-de-base-quotidiennes" TargetMode="External"/><Relationship Id="rId3" Type="http://schemas.openxmlformats.org/officeDocument/2006/relationships/hyperlink" Target="https://cds.climate.copernicus.eu/datasets/sis-agrometeorological-indicators" TargetMode="External"/><Relationship Id="rId4" Type="http://schemas.openxmlformats.org/officeDocument/2006/relationships/hyperlink" Target="https://www.fao.org/4/x0490e/x0490e00.htm" TargetMode="External"/><Relationship Id="rId5" Type="http://schemas.openxmlformats.org/officeDocument/2006/relationships/hyperlink" Target="https://maelia.pages-forge.inrae.fr/documentation/04-donnees_entree.html" TargetMode="External"/><Relationship Id="rId6" Type="http://schemas.openxmlformats.org/officeDocument/2006/relationships/hyperlink" Target="https://www.drias-climat.fr/" TargetMode="External"/><Relationship Id="rId7" Type="http://schemas.openxmlformats.org/officeDocument/2006/relationships/hyperlink" Target="https://datasuds-geo.ird.fr/" TargetMode="External"/><Relationship Id="rId8" Type="http://schemas.openxmlformats.org/officeDocument/2006/relationships/hyperlink" Target="https://www.gissol.fr/le-gis/programmes/rmqs-34" TargetMode="External"/><Relationship Id="rId9" Type="http://schemas.openxmlformats.org/officeDocument/2006/relationships/hyperlink" Target="https://soilgrids.org/" TargetMode="External"/><Relationship Id="rId10" Type="http://schemas.openxmlformats.org/officeDocument/2006/relationships/hyperlink" Target="https://www.gissol.fr/le-gis/programmes/rmqs-34" TargetMode="External"/><Relationship Id="rId11" Type="http://schemas.openxmlformats.org/officeDocument/2006/relationships/hyperlink" Target="https://geoservices.ign.fr/rpg" TargetMode="External"/><Relationship Id="rId12" Type="http://schemas.openxmlformats.org/officeDocument/2006/relationships/hyperlink" Target="https://entrepot.recherche.data.gouv.fr/dataset.xhtml?persistentId=doi:10.57745/W8SQPZ" TargetMode="External"/><Relationship Id="rId13" Type="http://schemas.openxmlformats.org/officeDocument/2006/relationships/hyperlink" Target="https://geoservices.ign.fr/rgealti" TargetMode="External"/><Relationship Id="rId14" Type="http://schemas.openxmlformats.org/officeDocument/2006/relationships/hyperlink" Target="https://guadeloupe.chambres-agriculture.fr/" TargetMode="External"/><Relationship Id="rId15" Type="http://schemas.openxmlformats.org/officeDocument/2006/relationships/hyperlink" Target="https://daaf.guadeloupe.agriculture.gouv.fr/" TargetMode="External"/><Relationship Id="rId16" Type="http://schemas.openxmlformats.org/officeDocument/2006/relationships/hyperlink" Target="https://guadeloupe.chambres-agriculture.fr/" TargetMode="External"/><Relationship Id="rId17" Type="http://schemas.openxmlformats.org/officeDocument/2006/relationships/hyperlink" Target="https://daaf.guadeloupe.agriculture.gouv.fr/" TargetMode="External"/><Relationship Id="rId18" Type="http://schemas.openxmlformats.org/officeDocument/2006/relationships/hyperlink" Target="https://maelia.pages-forge.inrae.fr/documentation/04-donnees_entree.html" TargetMode="External"/><Relationship Id="rId19" Type="http://schemas.openxmlformats.org/officeDocument/2006/relationships/hyperlink" Target="https://maelia.pages-forge.inrae.fr/documentation/04-donnees_entree.html" TargetMode="External"/><Relationship Id="rId20" Type="http://schemas.openxmlformats.org/officeDocument/2006/relationships/hyperlink" Target="https://guadeloupe.chambres-agriculture.fr/" TargetMode="External"/><Relationship Id="rId21" Type="http://schemas.openxmlformats.org/officeDocument/2006/relationships/hyperlink" Target="https://www.cg971.fr/wp-content/uploads/2020/07/CRF-V2-RAPPORT-2012-Guadeloupe-Irrigation-modif-suite-demande-SD-19-11-13.pdf" TargetMode="External"/><Relationship Id="rId22" Type="http://schemas.openxmlformats.org/officeDocument/2006/relationships/hyperlink" Target="https://daaf.guadeloupe.agriculture.gouv.fr/" TargetMode="External"/><Relationship Id="rId23" Type="http://schemas.openxmlformats.org/officeDocument/2006/relationships/hyperlink" Target="https://daaf.guadeloupe.agriculture.gouv.fr/IMG/pdf/agreste_memento_2022_guadeloupe.pdf" TargetMode="External"/><Relationship Id="rId24" Type="http://schemas.openxmlformats.org/officeDocument/2006/relationships/hyperlink" Target="https://geoservices.ign.fr/adminexpress" TargetMode="External"/><Relationship Id="rId25" Type="http://schemas.openxmlformats.org/officeDocument/2006/relationships/hyperlink" Target="https://maelia.pages-forge.inrae.fr/documentation/04-donnees_entree.html" TargetMode="External"/><Relationship Id="rId26" Type="http://schemas.openxmlformats.org/officeDocument/2006/relationships/hyperlink" Target="https://www.data.gouv.fr/datasets/bd-topage-r-guadeloupe-2026" TargetMode="External"/><Relationship Id="rId27" Type="http://schemas.openxmlformats.org/officeDocument/2006/relationships/hyperlink" Target="https://geoservices.ign.fr/rgealti" TargetMode="External"/><Relationship Id="rId28" Type="http://schemas.openxmlformats.org/officeDocument/2006/relationships/hyperlink" Target="https://maelia.pages-forge.inrae.fr/documentation/04-donnees_entree.html" TargetMode="External"/><Relationship Id="rId29" Type="http://schemas.openxmlformats.org/officeDocument/2006/relationships/hyperlink" Target="https://www.karugeo.fr/accueil/actualites/92_224/karucover_ocs2d__une_donnee_de_reference" TargetMode="External"/><Relationship Id="rId30" Type="http://schemas.openxmlformats.org/officeDocument/2006/relationships/hyperlink" Target="https://geoservices.ign.fr/bdtopo" TargetMode="External"/><Relationship Id="rId31" Type="http://schemas.openxmlformats.org/officeDocument/2006/relationships/hyperlink" Target="https://bnpe.eaufrance.fr/" TargetMode="External"/><Relationship Id="rId32" Type="http://schemas.openxmlformats.org/officeDocument/2006/relationships/hyperlink" Target="https://www.hydro.eaufrance.fr/" TargetMode="External"/><Relationship Id="rId33" Type="http://schemas.openxmlformats.org/officeDocument/2006/relationships/hyperlink" Target="https://www.guadeloupe.developpement-durable.gouv.fr/" TargetMode="External"/><Relationship Id="rId34" Type="http://schemas.openxmlformats.org/officeDocument/2006/relationships/hyperlink" Target="https://www.karugeo.fr/" TargetMode="External"/><Relationship Id="rId35" Type="http://schemas.openxmlformats.org/officeDocument/2006/relationships/hyperlink" Target="https://www.openstreetmap.org/" TargetMode="External"/></Relationships>
</file>

<file path=xl/worksheets/sheet1.xml><?xml version="1.0" encoding="utf-8"?>
<worksheet xmlns="http://schemas.openxmlformats.org/spreadsheetml/2006/main" xmlns:r="http://schemas.openxmlformats.org/officeDocument/2006/relationships">
  <dimension ref="A1:C38"/>
  <sheetViews>
    <sheetView showGridLines="0" workbookViewId="0"/>
  </sheetViews>
  <sheetFormatPr defaultRowHeight="15"/>
  <cols>
    <col min="1" max="1" width="4.7109375" customWidth="1"/>
    <col min="2" max="2" width="34.7109375" customWidth="1"/>
    <col min="3" max="3" width="110.7109375" customWidth="1"/>
  </cols>
  <sheetData>
    <row r="1" spans="1:3">
      <c r="B1" s="1" t="s">
        <v>881</v>
      </c>
    </row>
    <row r="2" spans="1:3">
      <c r="B2" s="2" t="s">
        <v>882</v>
      </c>
    </row>
    <row r="4" spans="1:3">
      <c r="B4" s="3" t="s">
        <v>883</v>
      </c>
    </row>
    <row r="5" spans="1:3">
      <c r="A5" s="4">
        <v>0</v>
      </c>
      <c r="B5" s="3" t="s">
        <v>884</v>
      </c>
      <c r="C5" s="5" t="s">
        <v>885</v>
      </c>
    </row>
    <row r="6" spans="1:3">
      <c r="A6" s="4">
        <v>1</v>
      </c>
      <c r="B6" s="3" t="s">
        <v>886</v>
      </c>
      <c r="C6" s="5" t="s">
        <v>887</v>
      </c>
    </row>
    <row r="7" spans="1:3">
      <c r="A7" s="4">
        <v>2</v>
      </c>
      <c r="B7" s="3" t="s">
        <v>888</v>
      </c>
      <c r="C7" s="5" t="s">
        <v>889</v>
      </c>
    </row>
    <row r="8" spans="1:3">
      <c r="A8" s="4">
        <v>3</v>
      </c>
      <c r="B8" s="3" t="s">
        <v>890</v>
      </c>
      <c r="C8" s="5" t="s">
        <v>891</v>
      </c>
    </row>
    <row r="9" spans="1:3">
      <c r="A9" s="6" t="s">
        <v>76</v>
      </c>
      <c r="B9" s="3" t="s">
        <v>892</v>
      </c>
      <c r="C9" s="5" t="s">
        <v>893</v>
      </c>
    </row>
    <row r="11" spans="1:3">
      <c r="B11" s="3" t="s">
        <v>894</v>
      </c>
    </row>
    <row r="12" spans="1:3">
      <c r="B12" s="3" t="s">
        <v>895</v>
      </c>
      <c r="C12" s="5" t="s">
        <v>896</v>
      </c>
    </row>
    <row r="13" spans="1:3">
      <c r="B13" s="3" t="s">
        <v>897</v>
      </c>
      <c r="C13" s="5" t="s">
        <v>898</v>
      </c>
    </row>
    <row r="14" spans="1:3">
      <c r="B14" s="3" t="s">
        <v>899</v>
      </c>
      <c r="C14" s="5" t="s">
        <v>900</v>
      </c>
    </row>
    <row r="15" spans="1:3">
      <c r="B15" s="3" t="s">
        <v>901</v>
      </c>
      <c r="C15" s="5" t="s">
        <v>902</v>
      </c>
    </row>
    <row r="17" spans="2:3">
      <c r="B17" s="3" t="s">
        <v>903</v>
      </c>
    </row>
    <row r="18" spans="2:3" ht="44" customHeight="1">
      <c r="B18" s="7" t="s">
        <v>904</v>
      </c>
      <c r="C18" s="5" t="s">
        <v>905</v>
      </c>
    </row>
    <row r="19" spans="2:3" ht="44" customHeight="1">
      <c r="B19" s="7" t="s">
        <v>906</v>
      </c>
      <c r="C19" s="5" t="s">
        <v>907</v>
      </c>
    </row>
    <row r="20" spans="2:3" ht="44" customHeight="1">
      <c r="B20" s="7" t="s">
        <v>908</v>
      </c>
      <c r="C20" s="5" t="s">
        <v>909</v>
      </c>
    </row>
    <row r="21" spans="2:3" ht="44" customHeight="1">
      <c r="B21" s="7" t="s">
        <v>910</v>
      </c>
      <c r="C21" s="5" t="s">
        <v>911</v>
      </c>
    </row>
    <row r="22" spans="2:3" ht="44" customHeight="1">
      <c r="B22" s="7" t="s">
        <v>912</v>
      </c>
      <c r="C22" s="5" t="s">
        <v>913</v>
      </c>
    </row>
    <row r="24" spans="2:3">
      <c r="B24" s="3" t="s">
        <v>914</v>
      </c>
    </row>
    <row r="25" spans="2:3" ht="30" customHeight="1">
      <c r="B25" s="7" t="s">
        <v>915</v>
      </c>
      <c r="C25" s="5" t="s">
        <v>916</v>
      </c>
    </row>
    <row r="26" spans="2:3" ht="30" customHeight="1">
      <c r="B26" s="7" t="s">
        <v>917</v>
      </c>
      <c r="C26" s="5" t="s">
        <v>918</v>
      </c>
    </row>
    <row r="27" spans="2:3" ht="30" customHeight="1">
      <c r="B27" s="7" t="s">
        <v>919</v>
      </c>
      <c r="C27" s="5" t="s">
        <v>920</v>
      </c>
    </row>
    <row r="28" spans="2:3" ht="30" customHeight="1">
      <c r="B28" s="7" t="s">
        <v>921</v>
      </c>
      <c r="C28" s="5" t="s">
        <v>922</v>
      </c>
    </row>
    <row r="30" spans="2:3">
      <c r="B30" s="3" t="s">
        <v>923</v>
      </c>
    </row>
    <row r="31" spans="2:3">
      <c r="B31" t="s">
        <v>924</v>
      </c>
      <c r="C31" s="8" t="s">
        <v>925</v>
      </c>
    </row>
    <row r="32" spans="2:3">
      <c r="B32" t="s">
        <v>926</v>
      </c>
      <c r="C32" s="8" t="s">
        <v>325</v>
      </c>
    </row>
    <row r="33" spans="2:3">
      <c r="B33" t="s">
        <v>927</v>
      </c>
      <c r="C33" s="8" t="s">
        <v>439</v>
      </c>
    </row>
    <row r="34" spans="2:3">
      <c r="B34" t="s">
        <v>928</v>
      </c>
      <c r="C34" s="8" t="s">
        <v>929</v>
      </c>
    </row>
    <row r="35" spans="2:3">
      <c r="B35" t="s">
        <v>930</v>
      </c>
      <c r="C35" s="8" t="s">
        <v>931</v>
      </c>
    </row>
    <row r="37" spans="2:3">
      <c r="B37" s="3" t="s">
        <v>932</v>
      </c>
      <c r="C37" s="9" t="s">
        <v>933</v>
      </c>
    </row>
    <row r="38" spans="2:3">
      <c r="C38" s="2" t="s">
        <v>934</v>
      </c>
    </row>
  </sheetData>
  <conditionalFormatting sqref="A5:A8">
    <cfRule type="colorScale" priority="1">
      <colorScale>
        <cfvo type="num" val="0"/>
        <cfvo type="num" val="1.5"/>
        <cfvo type="num" val="3"/>
        <color rgb="FFF8696B"/>
        <color rgb="FFFFEB84"/>
        <color rgb="FF63BE7B"/>
      </colorScale>
    </cfRule>
  </conditionalFormatting>
  <hyperlinks>
    <hyperlink ref="C31" r:id="rId1"/>
    <hyperlink ref="C32" r:id="rId2"/>
    <hyperlink ref="C33" r:id="rId3"/>
    <hyperlink ref="C34" r:id="rId4"/>
    <hyperlink ref="C35"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showGridLines="0" tabSelected="1" workbookViewId="0"/>
  </sheetViews>
  <sheetFormatPr defaultRowHeight="15" x14ac:dyDescent="0.25"/>
  <cols>
    <col min="1" max="1" width="30.7109375" customWidth="1"/>
    <col min="2" max="2" width="11.7109375" customWidth="1"/>
    <col min="3" max="3" width="17.7109375" customWidth="1"/>
    <col min="4" max="9" width="14.7109375" customWidth="1"/>
  </cols>
  <sheetData>
    <row r="1" spans="1:9" x14ac:dyDescent="0.25">
      <c r="A1" s="1" t="s">
        <v>830</v>
      </c>
    </row>
    <row r="2" spans="1:9" x14ac:dyDescent="0.25">
      <c r="A2" s="2" t="s">
        <v>831</v>
      </c>
    </row>
    <row r="4" spans="1:9" x14ac:dyDescent="0.25">
      <c r="A4" s="3" t="s">
        <v>832</v>
      </c>
    </row>
    <row r="5" spans="1:9" ht="32" customHeight="1" x14ac:dyDescent="0.25">
      <c r="A5" s="10" t="s">
        <v>2</v>
      </c>
      <c r="B5" s="10" t="s">
        <v>833</v>
      </c>
      <c r="C5" s="10" t="s">
        <v>5</v>
      </c>
      <c r="D5" s="10" t="s">
        <v>66</v>
      </c>
      <c r="E5" s="10" t="s">
        <v>67</v>
      </c>
      <c r="F5" s="10" t="s">
        <v>68</v>
      </c>
      <c r="G5" s="10" t="s">
        <v>13</v>
      </c>
      <c r="H5" s="10" t="s">
        <v>14</v>
      </c>
      <c r="I5" s="10" t="s">
        <v>69</v>
      </c>
    </row>
    <row r="6" spans="1:9" x14ac:dyDescent="0.25">
      <c r="A6" s="3" t="s">
        <v>71</v>
      </c>
      <c r="B6" s="11">
        <f>COUNTIF(Cultures!$A$5:$A$79,$A6)</f>
        <v>28</v>
      </c>
      <c r="C6" s="12">
        <f>SUMIF(Cultures!$A$5:$A$79,$A6,Cultures!$D$5:$D$79)</f>
        <v>12812.93</v>
      </c>
      <c r="D6" s="13">
        <f>IFERROR(AVERAGEIFS(Cultures!$BG$5:$BG$79,Cultures!$A$5:$A$79,$A6),"–")</f>
        <v>1.2433035714285714</v>
      </c>
      <c r="E6" s="13">
        <f>IFERROR(AVERAGEIFS(Cultures!$BH$5:$BH$79,Cultures!$A$5:$A$79,$A6),"–")</f>
        <v>1.2142857142857142</v>
      </c>
      <c r="F6" s="13">
        <f>IFERROR(AVERAGEIFS(Cultures!$BI$5:$BI$79,Cultures!$A$5:$A$79,$A6),"–")</f>
        <v>1.6996753246753247</v>
      </c>
      <c r="G6" s="13">
        <f>IFERROR(AVERAGEIFS(Cultures!$BJ$5:$BJ$79,Cultures!$A$5:$A$79,$A6),"–")</f>
        <v>2.0</v>
      </c>
      <c r="H6" s="13">
        <f>IFERROR(AVERAGEIFS(Cultures!$BK$5:$BK$79,Cultures!$A$5:$A$79,$A6),"–")</f>
        <v>1.5285714285714285</v>
      </c>
      <c r="I6" s="14">
        <f>IFERROR(AVERAGEIFS(Cultures!$BL$5:$BL$79,Cultures!$A$5:$A$79,$A6),"–")</f>
        <v>1.3828869047619048</v>
      </c>
    </row>
    <row r="7" spans="1:9" x14ac:dyDescent="0.25">
      <c r="A7" s="3" t="s">
        <v>134</v>
      </c>
      <c r="B7" s="11">
        <f>COUNTIF(Cultures!$A$5:$A$79,$A7)</f>
        <v>4</v>
      </c>
      <c r="C7" s="12">
        <f>SUMIF(Cultures!$A$5:$A$79,$A7,Cultures!$D$5:$D$79)</f>
        <v>1920.8</v>
      </c>
      <c r="D7" s="13">
        <f>IFERROR(AVERAGEIFS(Cultures!$BG$5:$BG$79,Cultures!$A$5:$A$79,$A7),"–")</f>
        <v>1.25</v>
      </c>
      <c r="E7" s="13">
        <f>IFERROR(AVERAGEIFS(Cultures!$BH$5:$BH$79,Cultures!$A$5:$A$79,$A7),"–")</f>
        <v>1.2884615384615385</v>
      </c>
      <c r="F7" s="13">
        <f>IFERROR(AVERAGEIFS(Cultures!$BI$5:$BI$79,Cultures!$A$5:$A$79,$A7),"–")</f>
        <v>1.315909090909091</v>
      </c>
      <c r="G7" s="13">
        <f>IFERROR(AVERAGEIFS(Cultures!$BJ$5:$BJ$79,Cultures!$A$5:$A$79,$A7),"–")</f>
        <v>2.0</v>
      </c>
      <c r="H7" s="13">
        <f>IFERROR(AVERAGEIFS(Cultures!$BK$5:$BK$79,Cultures!$A$5:$A$79,$A7),"–")</f>
        <v>1.6</v>
      </c>
      <c r="I7" s="14">
        <f>IFERROR(AVERAGEIFS(Cultures!$BL$5:$BL$79,Cultures!$A$5:$A$79,$A7),"–")</f>
        <v>1.3458603145235892</v>
      </c>
    </row>
    <row r="8" spans="1:9" x14ac:dyDescent="0.25">
      <c r="A8" s="3" t="s">
        <v>149</v>
      </c>
      <c r="B8" s="11">
        <f>COUNTIF(Cultures!$A$5:$A$79,$A8)</f>
        <v>2</v>
      </c>
      <c r="C8" s="12">
        <f>SUMIF(Cultures!$A$5:$A$79,$A8,Cultures!$D$5:$D$79)</f>
        <v>147.21</v>
      </c>
      <c r="D8" s="13">
        <f>IFERROR(AVERAGEIFS(Cultures!$BG$5:$BG$79,Cultures!$A$5:$A$79,$A8),"–")</f>
        <v>1.25</v>
      </c>
      <c r="E8" s="13">
        <f>IFERROR(AVERAGEIFS(Cultures!$BH$5:$BH$79,Cultures!$A$5:$A$79,$A8),"–")</f>
        <v>1.3846153846153846</v>
      </c>
      <c r="F8" s="13">
        <f>IFERROR(AVERAGEIFS(Cultures!$BI$5:$BI$79,Cultures!$A$5:$A$79,$A8),"–")</f>
        <v>1.4272727272727272</v>
      </c>
      <c r="G8" s="13">
        <f>IFERROR(AVERAGEIFS(Cultures!$BJ$5:$BJ$79,Cultures!$A$5:$A$79,$A8),"–")</f>
        <v>2.0</v>
      </c>
      <c r="H8" s="13">
        <f>IFERROR(AVERAGEIFS(Cultures!$BK$5:$BK$79,Cultures!$A$5:$A$79,$A8),"–")</f>
        <v>1.6</v>
      </c>
      <c r="I8" s="14">
        <f>IFERROR(AVERAGEIFS(Cultures!$BL$5:$BL$79,Cultures!$A$5:$A$79,$A8),"–")</f>
        <v>1.3977798334875116</v>
      </c>
    </row>
    <row r="9" spans="1:9" x14ac:dyDescent="0.25">
      <c r="A9" s="3" t="s">
        <v>156</v>
      </c>
      <c r="B9" s="11">
        <f>COUNTIF(Cultures!$A$5:$A$79,$A9)</f>
        <v>2</v>
      </c>
      <c r="C9" s="12">
        <f>SUMIF(Cultures!$A$5:$A$79,$A9,Cultures!$D$5:$D$79)</f>
        <v>6109.43</v>
      </c>
      <c r="D9" s="13">
        <f>IFERROR(AVERAGEIFS(Cultures!$BG$5:$BG$79,Cultures!$A$5:$A$79,$A9),"–")</f>
        <v>0.0</v>
      </c>
      <c r="E9" s="13" t="str">
        <f>IFERROR(AVERAGEIFS(Cultures!$BH$5:$BH$79,Cultures!$A$5:$A$79,$A9),"–")</f>
        <v>–</v>
      </c>
      <c r="F9" s="13">
        <f>IFERROR(AVERAGEIFS(Cultures!$BI$5:$BI$79,Cultures!$A$5:$A$79,$A9),"–")</f>
        <v>0.9196428571428572</v>
      </c>
      <c r="G9" s="13">
        <f>IFERROR(AVERAGEIFS(Cultures!$BJ$5:$BJ$79,Cultures!$A$5:$A$79,$A9),"–")</f>
        <v>1.5</v>
      </c>
      <c r="H9" s="13">
        <f>IFERROR(AVERAGEIFS(Cultures!$BK$5:$BK$79,Cultures!$A$5:$A$79,$A9),"–")</f>
        <v>1.6</v>
      </c>
      <c r="I9" s="14">
        <f>IFERROR(AVERAGEIFS(Cultures!$BL$5:$BL$79,Cultures!$A$5:$A$79,$A9),"–")</f>
        <v>1.125</v>
      </c>
    </row>
    <row r="10" spans="1:9" x14ac:dyDescent="0.25">
      <c r="A10" s="3" t="s">
        <v>163</v>
      </c>
      <c r="B10" s="11">
        <f>COUNTIF(Cultures!$A$5:$A$79,$A10)</f>
        <v>30</v>
      </c>
      <c r="C10" s="12">
        <f>SUMIF(Cultures!$A$5:$A$79,$A10,Cultures!$D$5:$D$79)</f>
        <v>1086.97</v>
      </c>
      <c r="D10" s="13">
        <f>IFERROR(AVERAGEIFS(Cultures!$BG$5:$BG$79,Cultures!$A$5:$A$79,$A10),"–")</f>
        <v>0.8270833333333333</v>
      </c>
      <c r="E10" s="13">
        <f>IFERROR(AVERAGEIFS(Cultures!$BH$5:$BH$79,Cultures!$A$5:$A$79,$A10),"–")</f>
        <v>1.1717948717948719</v>
      </c>
      <c r="F10" s="13">
        <f>IFERROR(AVERAGEIFS(Cultures!$BI$5:$BI$79,Cultures!$A$5:$A$79,$A10),"–")</f>
        <v>1.338114478114478</v>
      </c>
      <c r="G10" s="13">
        <f>IFERROR(AVERAGEIFS(Cultures!$BJ$5:$BJ$79,Cultures!$A$5:$A$79,$A10),"–")</f>
        <v>1.5166666666666666</v>
      </c>
      <c r="H10" s="13">
        <f>IFERROR(AVERAGEIFS(Cultures!$BK$5:$BK$79,Cultures!$A$5:$A$79,$A10),"–")</f>
        <v>1.6</v>
      </c>
      <c r="I10" s="14">
        <f>IFERROR(AVERAGEIFS(Cultures!$BL$5:$BL$79,Cultures!$A$5:$A$79,$A10),"–")</f>
        <v>1.1458325468686246</v>
      </c>
    </row>
    <row r="11" spans="1:9" x14ac:dyDescent="0.25">
      <c r="A11" s="3" t="s">
        <v>228</v>
      </c>
      <c r="B11" s="11">
        <f>COUNTIF(Cultures!$A$5:$A$79,$A11)</f>
        <v>1</v>
      </c>
      <c r="C11" s="12">
        <f>SUMIF(Cultures!$A$5:$A$79,$A11,Cultures!$D$5:$D$79)</f>
        <v>189.36</v>
      </c>
      <c r="D11" s="13">
        <f>IFERROR(AVERAGEIFS(Cultures!$BG$5:$BG$79,Cultures!$A$5:$A$79,$A11),"–")</f>
        <v>1.25</v>
      </c>
      <c r="E11" s="13">
        <f>IFERROR(AVERAGEIFS(Cultures!$BH$5:$BH$79,Cultures!$A$5:$A$79,$A11),"–")</f>
        <v>1.3846153846153846</v>
      </c>
      <c r="F11" s="13">
        <f>IFERROR(AVERAGEIFS(Cultures!$BI$5:$BI$79,Cultures!$A$5:$A$79,$A11),"–")</f>
        <v>1.5454545454545454</v>
      </c>
      <c r="G11" s="13">
        <f>IFERROR(AVERAGEIFS(Cultures!$BJ$5:$BJ$79,Cultures!$A$5:$A$79,$A11),"–")</f>
        <v>2.0</v>
      </c>
      <c r="H11" s="13">
        <f>IFERROR(AVERAGEIFS(Cultures!$BK$5:$BK$79,Cultures!$A$5:$A$79,$A11),"–")</f>
        <v>1.6</v>
      </c>
      <c r="I11" s="14">
        <f>IFERROR(AVERAGEIFS(Cultures!$BL$5:$BL$79,Cultures!$A$5:$A$79,$A11),"–")</f>
        <v>1.425531914893617</v>
      </c>
    </row>
    <row r="12" spans="1:9" x14ac:dyDescent="0.25">
      <c r="A12" s="3" t="s">
        <v>231</v>
      </c>
      <c r="B12" s="11">
        <f>COUNTIF(Cultures!$A$5:$A$79,$A12)</f>
        <v>2</v>
      </c>
      <c r="C12" s="12">
        <f>SUMIF(Cultures!$A$5:$A$79,$A12,Cultures!$D$5:$D$79)</f>
        <v>145.42000000000002</v>
      </c>
      <c r="D12" s="13">
        <f>IFERROR(AVERAGEIFS(Cultures!$BG$5:$BG$79,Cultures!$A$5:$A$79,$A12),"–")</f>
        <v>1.1875</v>
      </c>
      <c r="E12" s="13">
        <f>IFERROR(AVERAGEIFS(Cultures!$BH$5:$BH$79,Cultures!$A$5:$A$79,$A12),"–")</f>
        <v>1.3076923076923077</v>
      </c>
      <c r="F12" s="13">
        <f>IFERROR(AVERAGEIFS(Cultures!$BI$5:$BI$79,Cultures!$A$5:$A$79,$A12),"–")</f>
        <v>1.5681818181818183</v>
      </c>
      <c r="G12" s="13">
        <f>IFERROR(AVERAGEIFS(Cultures!$BJ$5:$BJ$79,Cultures!$A$5:$A$79,$A12),"–")</f>
        <v>2.0</v>
      </c>
      <c r="H12" s="13">
        <f>IFERROR(AVERAGEIFS(Cultures!$BK$5:$BK$79,Cultures!$A$5:$A$79,$A12),"–")</f>
        <v>1.6</v>
      </c>
      <c r="I12" s="14">
        <f>IFERROR(AVERAGEIFS(Cultures!$BL$5:$BL$79,Cultures!$A$5:$A$79,$A12),"–")</f>
        <v>1.3869102682701202</v>
      </c>
    </row>
    <row r="13" spans="1:9" x14ac:dyDescent="0.25">
      <c r="A13" s="3" t="s">
        <v>238</v>
      </c>
      <c r="B13" s="11">
        <f>COUNTIF(Cultures!$A$5:$A$79,$A13)</f>
        <v>2</v>
      </c>
      <c r="C13" s="12">
        <f>SUMIF(Cultures!$A$5:$A$79,$A13,Cultures!$D$5:$D$79)</f>
        <v>132.67000000000002</v>
      </c>
      <c r="D13" s="13">
        <f>IFERROR(AVERAGEIFS(Cultures!$BG$5:$BG$79,Cultures!$A$5:$A$79,$A13),"–")</f>
        <v>1.1875</v>
      </c>
      <c r="E13" s="13">
        <f>IFERROR(AVERAGEIFS(Cultures!$BH$5:$BH$79,Cultures!$A$5:$A$79,$A13),"–")</f>
        <v>1.2307692307692308</v>
      </c>
      <c r="F13" s="13">
        <f>IFERROR(AVERAGEIFS(Cultures!$BI$5:$BI$79,Cultures!$A$5:$A$79,$A13),"–")</f>
        <v>1.9375</v>
      </c>
      <c r="G13" s="13">
        <f>IFERROR(AVERAGEIFS(Cultures!$BJ$5:$BJ$79,Cultures!$A$5:$A$79,$A13),"–")</f>
        <v>2.0</v>
      </c>
      <c r="H13" s="13">
        <f>IFERROR(AVERAGEIFS(Cultures!$BK$5:$BK$79,Cultures!$A$5:$A$79,$A13),"–")</f>
        <v>1.6</v>
      </c>
      <c r="I13" s="14">
        <f>IFERROR(AVERAGEIFS(Cultures!$BL$5:$BL$79,Cultures!$A$5:$A$79,$A13),"–")</f>
        <v>1.4204545454545454</v>
      </c>
    </row>
    <row r="14" spans="1:9" x14ac:dyDescent="0.25">
      <c r="A14" s="3" t="s">
        <v>245</v>
      </c>
      <c r="B14" s="11">
        <f>COUNTIF(Cultures!$A$5:$A$79,$A14)</f>
        <v>1</v>
      </c>
      <c r="C14" s="12">
        <f>SUMIF(Cultures!$A$5:$A$79,$A14,Cultures!$D$5:$D$79)</f>
        <v>100.84</v>
      </c>
      <c r="D14" s="13">
        <f>IFERROR(AVERAGEIFS(Cultures!$BG$5:$BG$79,Cultures!$A$5:$A$79,$A14),"–")</f>
        <v>0.9375</v>
      </c>
      <c r="E14" s="13">
        <f>IFERROR(AVERAGEIFS(Cultures!$BH$5:$BH$79,Cultures!$A$5:$A$79,$A14),"–")</f>
        <v>1.1538461538461537</v>
      </c>
      <c r="F14" s="13">
        <f>IFERROR(AVERAGEIFS(Cultures!$BI$5:$BI$79,Cultures!$A$5:$A$79,$A14),"–")</f>
        <v>1.5454545454545454</v>
      </c>
      <c r="G14" s="13">
        <f>IFERROR(AVERAGEIFS(Cultures!$BJ$5:$BJ$79,Cultures!$A$5:$A$79,$A14),"–")</f>
        <v>2.0</v>
      </c>
      <c r="H14" s="13">
        <f>IFERROR(AVERAGEIFS(Cultures!$BK$5:$BK$79,Cultures!$A$5:$A$79,$A14),"–")</f>
        <v>1.6</v>
      </c>
      <c r="I14" s="14">
        <f>IFERROR(AVERAGEIFS(Cultures!$BL$5:$BL$79,Cultures!$A$5:$A$79,$A14),"–")</f>
        <v>1.2553191489361701</v>
      </c>
    </row>
    <row r="15" spans="1:9" x14ac:dyDescent="0.25">
      <c r="A15" s="3" t="s">
        <v>248</v>
      </c>
      <c r="B15" s="11">
        <f>COUNTIF(Cultures!$A$5:$A$79,$A15)</f>
        <v>2</v>
      </c>
      <c r="C15" s="12">
        <f>SUMIF(Cultures!$A$5:$A$79,$A15,Cultures!$D$5:$D$79)</f>
        <v>310.89</v>
      </c>
      <c r="D15" s="13">
        <f>IFERROR(AVERAGEIFS(Cultures!$BG$5:$BG$79,Cultures!$A$5:$A$79,$A15),"–")</f>
        <v>0.8125</v>
      </c>
      <c r="E15" s="13">
        <f>IFERROR(AVERAGEIFS(Cultures!$BH$5:$BH$79,Cultures!$A$5:$A$79,$A15),"–")</f>
        <v>1.0</v>
      </c>
      <c r="F15" s="13">
        <f>IFERROR(AVERAGEIFS(Cultures!$BI$5:$BI$79,Cultures!$A$5:$A$79,$A15),"–")</f>
        <v>1.5</v>
      </c>
      <c r="G15" s="13">
        <f>IFERROR(AVERAGEIFS(Cultures!$BJ$5:$BJ$79,Cultures!$A$5:$A$79,$A15),"–")</f>
        <v>1.5</v>
      </c>
      <c r="H15" s="13">
        <f>IFERROR(AVERAGEIFS(Cultures!$BK$5:$BK$79,Cultures!$A$5:$A$79,$A15),"–")</f>
        <v>1.6</v>
      </c>
      <c r="I15" s="14">
        <f>IFERROR(AVERAGEIFS(Cultures!$BL$5:$BL$79,Cultures!$A$5:$A$79,$A15),"–")</f>
        <v>1.1382978723404256</v>
      </c>
    </row>
    <row r="16" spans="1:9" x14ac:dyDescent="0.25">
      <c r="A16" s="3" t="s">
        <v>254</v>
      </c>
      <c r="B16" s="11">
        <f>COUNTIF(Cultures!$A$5:$A$79,$A16)</f>
        <v>1</v>
      </c>
      <c r="C16" s="12">
        <f>SUMIF(Cultures!$A$5:$A$79,$A16,Cultures!$D$5:$D$79)</f>
        <v>621.47</v>
      </c>
      <c r="D16" s="13" t="str">
        <f>IFERROR(AVERAGEIFS(Cultures!$BG$5:$BG$79,Cultures!$A$5:$A$79,$A16),"–")</f>
        <v>–</v>
      </c>
      <c r="E16" s="13" t="str">
        <f>IFERROR(AVERAGEIFS(Cultures!$BH$5:$BH$79,Cultures!$A$5:$A$79,$A16),"–")</f>
        <v>–</v>
      </c>
      <c r="F16" s="13">
        <f>IFERROR(AVERAGEIFS(Cultures!$BI$5:$BI$79,Cultures!$A$5:$A$79,$A16),"–")</f>
        <v>2.0</v>
      </c>
      <c r="G16" s="13" t="str">
        <f>IFERROR(AVERAGEIFS(Cultures!$BJ$5:$BJ$79,Cultures!$A$5:$A$79,$A16),"–")</f>
        <v>–</v>
      </c>
      <c r="H16" s="13">
        <f>IFERROR(AVERAGEIFS(Cultures!$BK$5:$BK$79,Cultures!$A$5:$A$79,$A16),"–")</f>
        <v>1.5</v>
      </c>
      <c r="I16" s="14">
        <f>IFERROR(AVERAGEIFS(Cultures!$BL$5:$BL$79,Cultures!$A$5:$A$79,$A16),"–")</f>
        <v>1.6</v>
      </c>
    </row>
    <row r="19" spans="1:4" x14ac:dyDescent="0.25">
      <c r="A19" s="3" t="s">
        <v>834</v>
      </c>
    </row>
    <row r="20" spans="1:4" x14ac:dyDescent="0.25">
      <c r="A20" s="10" t="s">
        <v>527</v>
      </c>
      <c r="B20" s="10" t="s">
        <v>835</v>
      </c>
      <c r="C20" s="10" t="s">
        <v>836</v>
      </c>
      <c r="D20" s="10" t="s">
        <v>837</v>
      </c>
    </row>
    <row r="21" spans="1:4" x14ac:dyDescent="0.25">
      <c r="A21" s="3" t="s">
        <v>536</v>
      </c>
      <c r="B21" s="11">
        <f>COUNTIF('Autres données'!$A$5:$A$52,$A21)</f>
        <v>7</v>
      </c>
      <c r="C21" s="13">
        <f>IFERROR(AVERAGEIFS('Autres données'!$G$5:$G$52,'Autres données'!$A$5:$A$52,$A21),"–")</f>
        <v>1.1428571428571428</v>
      </c>
      <c r="D21" s="11">
        <f>COUNTIFS('Autres données'!$A$5:$A$52,$A21,'Autres données'!$G$5:$G$52,0)</f>
        <v>0</v>
      </c>
    </row>
    <row r="22" spans="1:4" x14ac:dyDescent="0.25">
      <c r="A22" s="3" t="s">
        <v>584</v>
      </c>
      <c r="B22" s="11">
        <f>COUNTIF('Autres données'!$A$5:$A$52,$A22)</f>
        <v>9</v>
      </c>
      <c r="C22" s="13">
        <f>IFERROR(AVERAGEIFS('Autres données'!$G$5:$G$52,'Autres données'!$A$5:$A$52,$A22),"–")</f>
        <v>1.3333333333333333</v>
      </c>
      <c r="D22" s="11">
        <f>COUNTIFS('Autres données'!$A$5:$A$52,$A22,'Autres données'!$G$5:$G$52,0)</f>
        <v>1</v>
      </c>
    </row>
    <row r="23" spans="1:4" x14ac:dyDescent="0.25">
      <c r="A23" s="3" t="s">
        <v>632</v>
      </c>
      <c r="B23" s="11">
        <f>COUNTIF('Autres données'!$A$5:$A$52,$A23)</f>
        <v>5</v>
      </c>
      <c r="C23" s="13">
        <f>IFERROR(AVERAGEIFS('Autres données'!$G$5:$G$52,'Autres données'!$A$5:$A$52,$A23),"–")</f>
        <v>2.0</v>
      </c>
      <c r="D23" s="11">
        <f>COUNTIFS('Autres données'!$A$5:$A$52,$A23,'Autres données'!$G$5:$G$52,0)</f>
        <v>0</v>
      </c>
    </row>
    <row r="24" spans="1:4" x14ac:dyDescent="0.25">
      <c r="A24" s="3" t="s">
        <v>664</v>
      </c>
      <c r="B24" s="11">
        <f>COUNTIF('Autres données'!$A$5:$A$52,$A24)</f>
        <v>5</v>
      </c>
      <c r="C24" s="13">
        <f>IFERROR(AVERAGEIFS('Autres données'!$G$5:$G$52,'Autres données'!$A$5:$A$52,$A24),"–")</f>
        <v>1.4</v>
      </c>
      <c r="D24" s="11">
        <f>COUNTIFS('Autres données'!$A$5:$A$52,$A24,'Autres données'!$G$5:$G$52,0)</f>
        <v>1</v>
      </c>
    </row>
    <row r="25" spans="1:4" x14ac:dyDescent="0.25">
      <c r="A25" s="3" t="s">
        <v>695</v>
      </c>
      <c r="B25" s="11">
        <f>COUNTIF('Autres données'!$A$5:$A$52,$A25)</f>
        <v>3</v>
      </c>
      <c r="C25" s="13">
        <f>IFERROR(AVERAGEIFS('Autres données'!$G$5:$G$52,'Autres données'!$A$5:$A$52,$A25),"–")</f>
        <v>1.3333333333333333</v>
      </c>
      <c r="D25" s="11">
        <f>COUNTIFS('Autres données'!$A$5:$A$52,$A25,'Autres données'!$G$5:$G$52,0)</f>
        <v>0</v>
      </c>
    </row>
    <row r="26" spans="1:4" x14ac:dyDescent="0.25">
      <c r="A26" s="3" t="s">
        <v>14</v>
      </c>
      <c r="B26" s="11">
        <f>COUNTIF('Autres données'!$A$5:$A$52,$A26)</f>
        <v>3</v>
      </c>
      <c r="C26" s="13">
        <f>IFERROR(AVERAGEIFS('Autres données'!$G$5:$G$52,'Autres données'!$A$5:$A$52,$A26),"–")</f>
        <v>1.0</v>
      </c>
      <c r="D26" s="11">
        <f>COUNTIFS('Autres données'!$A$5:$A$52,$A26,'Autres données'!$G$5:$G$52,0)</f>
        <v>0</v>
      </c>
    </row>
    <row r="27" spans="1:4" x14ac:dyDescent="0.25">
      <c r="A27" s="3" t="s">
        <v>729</v>
      </c>
      <c r="B27" s="11">
        <f>COUNTIF('Autres données'!$A$5:$A$52,$A27)</f>
        <v>2</v>
      </c>
      <c r="C27" s="13">
        <f>IFERROR(AVERAGEIFS('Autres données'!$G$5:$G$52,'Autres données'!$A$5:$A$52,$A27),"–")</f>
        <v>0.5</v>
      </c>
      <c r="D27" s="11">
        <f>COUNTIFS('Autres données'!$A$5:$A$52,$A27,'Autres données'!$G$5:$G$52,0)</f>
        <v>1</v>
      </c>
    </row>
    <row r="28" spans="1:4" x14ac:dyDescent="0.25">
      <c r="A28" s="3" t="s">
        <v>744</v>
      </c>
      <c r="B28" s="11">
        <f>COUNTIF('Autres données'!$A$5:$A$52,$A28)</f>
        <v>3</v>
      </c>
      <c r="C28" s="13">
        <f>IFERROR(AVERAGEIFS('Autres données'!$G$5:$G$52,'Autres données'!$A$5:$A$52,$A28),"–")</f>
        <v>2.0</v>
      </c>
      <c r="D28" s="11">
        <f>COUNTIFS('Autres données'!$A$5:$A$52,$A28,'Autres données'!$G$5:$G$52,0)</f>
        <v>0</v>
      </c>
    </row>
    <row r="29" spans="1:4" x14ac:dyDescent="0.25">
      <c r="A29" s="3" t="s">
        <v>762</v>
      </c>
      <c r="B29" s="11">
        <f>COUNTIF('Autres données'!$A$5:$A$52,$A29)</f>
        <v>7</v>
      </c>
      <c r="C29" s="13">
        <f>IFERROR(AVERAGEIFS('Autres données'!$G$5:$G$52,'Autres données'!$A$5:$A$52,$A29),"–")</f>
        <v>1.4285714285714286</v>
      </c>
      <c r="D29" s="11">
        <f>COUNTIFS('Autres données'!$A$5:$A$52,$A29,'Autres données'!$G$5:$G$52,0)</f>
        <v>0</v>
      </c>
    </row>
    <row r="30" spans="1:4" x14ac:dyDescent="0.25">
      <c r="A30" s="3" t="s">
        <v>803</v>
      </c>
      <c r="B30" s="11">
        <f>COUNTIF('Autres données'!$A$5:$A$52,$A30)</f>
        <v>1</v>
      </c>
      <c r="C30" s="13">
        <f>IFERROR(AVERAGEIFS('Autres données'!$G$5:$G$52,'Autres données'!$A$5:$A$52,$A30),"–")</f>
        <v>2.0</v>
      </c>
      <c r="D30" s="11">
        <f>COUNTIFS('Autres données'!$A$5:$A$52,$A30,'Autres données'!$G$5:$G$52,0)</f>
        <v>0</v>
      </c>
    </row>
    <row r="31" spans="1:4" x14ac:dyDescent="0.25">
      <c r="A31" s="3" t="s">
        <v>810</v>
      </c>
      <c r="B31" s="11">
        <f>COUNTIF('Autres données'!$A$5:$A$52,$A31)</f>
        <v>2</v>
      </c>
      <c r="C31" s="13">
        <f>IFERROR(AVERAGEIFS('Autres données'!$G$5:$G$52,'Autres données'!$A$5:$A$52,$A31),"–")</f>
        <v>1.5</v>
      </c>
      <c r="D31" s="11">
        <f>COUNTIFS('Autres données'!$A$5:$A$52,$A31,'Autres données'!$G$5:$G$52,0)</f>
        <v>0</v>
      </c>
    </row>
    <row r="32" spans="1:4" x14ac:dyDescent="0.25">
      <c r="A32" s="3" t="s">
        <v>823</v>
      </c>
      <c r="B32" s="11">
        <f>COUNTIF('Autres données'!$A$5:$A$52,$A32)</f>
        <v>1</v>
      </c>
      <c r="C32" s="13">
        <f>IFERROR(AVERAGEIFS('Autres données'!$G$5:$G$52,'Autres données'!$A$5:$A$52,$A32),"–")</f>
        <v>1.0</v>
      </c>
      <c r="D32" s="11">
        <f>COUNTIFS('Autres données'!$A$5:$A$52,$A32,'Autres données'!$G$5:$G$52,0)</f>
        <v>0</v>
      </c>
    </row>
    <row r="35" spans="1:9" x14ac:dyDescent="0.25">
      <c r="A35" s="3" t="s">
        <v>838</v>
      </c>
    </row>
    <row r="36" spans="1:9" ht="44" customHeight="1" x14ac:dyDescent="0.25">
      <c r="A36" s="15" t="s">
        <v>839</v>
      </c>
      <c r="B36" s="5" t="s">
        <v>840</v>
      </c>
      <c r="C36" s="5"/>
      <c r="D36" s="5"/>
      <c r="E36" s="5"/>
      <c r="F36" s="5"/>
      <c r="G36" s="5"/>
      <c r="H36" s="5"/>
      <c r="I36" s="5"/>
    </row>
    <row r="37" spans="1:9" ht="44" customHeight="1" x14ac:dyDescent="0.25">
      <c r="A37" s="15" t="s">
        <v>841</v>
      </c>
      <c r="B37" s="5" t="s">
        <v>842</v>
      </c>
      <c r="C37" s="5"/>
      <c r="D37" s="5"/>
      <c r="E37" s="5"/>
      <c r="F37" s="5"/>
      <c r="G37" s="5"/>
      <c r="H37" s="5"/>
      <c r="I37" s="5"/>
    </row>
    <row r="38" spans="1:9" ht="44" customHeight="1" x14ac:dyDescent="0.25">
      <c r="A38" s="15" t="s">
        <v>843</v>
      </c>
      <c r="B38" s="5" t="s">
        <v>844</v>
      </c>
      <c r="C38" s="5"/>
      <c r="D38" s="5"/>
      <c r="E38" s="5"/>
      <c r="F38" s="5"/>
      <c r="G38" s="5"/>
      <c r="H38" s="5"/>
      <c r="I38" s="5"/>
    </row>
    <row r="39" spans="1:9" ht="44" customHeight="1" x14ac:dyDescent="0.25">
      <c r="A39" s="15" t="s">
        <v>845</v>
      </c>
      <c r="B39" s="5" t="s">
        <v>846</v>
      </c>
      <c r="C39" s="5"/>
      <c r="D39" s="5"/>
      <c r="E39" s="5"/>
      <c r="F39" s="5"/>
      <c r="G39" s="5"/>
      <c r="H39" s="5"/>
      <c r="I39" s="5"/>
    </row>
    <row r="40" spans="1:9" ht="44" customHeight="1" x14ac:dyDescent="0.25">
      <c r="A40" s="15" t="s">
        <v>156</v>
      </c>
      <c r="B40" s="5" t="s">
        <v>847</v>
      </c>
      <c r="C40" s="5"/>
      <c r="D40" s="5"/>
      <c r="E40" s="5"/>
      <c r="F40" s="5"/>
      <c r="G40" s="5"/>
      <c r="H40" s="5"/>
      <c r="I40" s="5"/>
    </row>
    <row r="41" spans="1:9" ht="44" customHeight="1" x14ac:dyDescent="0.25">
      <c r="A41" s="15" t="s">
        <v>848</v>
      </c>
      <c r="B41" s="5" t="s">
        <v>849</v>
      </c>
      <c r="C41" s="5"/>
      <c r="D41" s="5"/>
      <c r="E41" s="5"/>
      <c r="F41" s="5"/>
      <c r="G41" s="5"/>
      <c r="H41" s="5"/>
      <c r="I41" s="5"/>
    </row>
    <row r="42" spans="1:9" ht="44" customHeight="1" x14ac:dyDescent="0.25">
      <c r="A42" s="15" t="s">
        <v>850</v>
      </c>
      <c r="B42" s="5" t="s">
        <v>851</v>
      </c>
      <c r="C42" s="5"/>
      <c r="D42" s="5"/>
      <c r="E42" s="5"/>
      <c r="F42" s="5"/>
      <c r="G42" s="5"/>
      <c r="H42" s="5"/>
      <c r="I42" s="5"/>
    </row>
    <row r="43" spans="1:9" ht="44" customHeight="1" x14ac:dyDescent="0.25">
      <c r="A43" s="15" t="s">
        <v>852</v>
      </c>
      <c r="B43" s="5" t="s">
        <v>853</v>
      </c>
      <c r="C43" s="5"/>
      <c r="D43" s="5"/>
      <c r="E43" s="5"/>
      <c r="F43" s="5"/>
      <c r="G43" s="5"/>
      <c r="H43" s="5"/>
      <c r="I43" s="5"/>
    </row>
    <row r="44" spans="1:9" ht="44" customHeight="1" x14ac:dyDescent="0.25">
      <c r="A44" s="15" t="s">
        <v>854</v>
      </c>
      <c r="B44" s="5" t="s">
        <v>855</v>
      </c>
      <c r="C44" s="5"/>
      <c r="D44" s="5"/>
      <c r="E44" s="5"/>
      <c r="F44" s="5"/>
      <c r="G44" s="5"/>
      <c r="H44" s="5"/>
      <c r="I44" s="5"/>
    </row>
    <row r="45" spans="1:9" ht="44" customHeight="1" x14ac:dyDescent="0.25">
      <c r="A45" s="15" t="s">
        <v>856</v>
      </c>
      <c r="B45" s="5" t="s">
        <v>857</v>
      </c>
      <c r="C45" s="5"/>
      <c r="D45" s="5"/>
      <c r="E45" s="5"/>
      <c r="F45" s="5"/>
      <c r="G45" s="5"/>
      <c r="H45" s="5"/>
      <c r="I45" s="5"/>
    </row>
    <row r="46" spans="1:9" ht="44" customHeight="1" x14ac:dyDescent="0.25">
      <c r="A46" s="15" t="s">
        <v>858</v>
      </c>
      <c r="B46" s="5" t="s">
        <v>859</v>
      </c>
      <c r="C46" s="5"/>
      <c r="D46" s="5"/>
      <c r="E46" s="5"/>
      <c r="F46" s="5"/>
      <c r="G46" s="5"/>
      <c r="H46" s="5"/>
      <c r="I46" s="5"/>
    </row>
    <row r="49" spans="1:9" x14ac:dyDescent="0.25">
      <c r="A49" s="3" t="s">
        <v>860</v>
      </c>
    </row>
    <row r="50" spans="1:9" ht="44" customHeight="1" x14ac:dyDescent="0.25">
      <c r="A50" s="15" t="s">
        <v>861</v>
      </c>
      <c r="B50" s="5" t="s">
        <v>862</v>
      </c>
      <c r="C50" s="5"/>
      <c r="D50" s="5"/>
      <c r="E50" s="5"/>
      <c r="F50" s="5"/>
      <c r="G50" s="5"/>
      <c r="H50" s="5"/>
      <c r="I50" s="5"/>
    </row>
    <row r="51" spans="1:9" ht="44" customHeight="1" x14ac:dyDescent="0.25">
      <c r="A51" s="15" t="s">
        <v>863</v>
      </c>
      <c r="B51" s="5" t="s">
        <v>864</v>
      </c>
      <c r="C51" s="5"/>
      <c r="D51" s="5"/>
      <c r="E51" s="5"/>
      <c r="F51" s="5"/>
      <c r="G51" s="5"/>
      <c r="H51" s="5"/>
      <c r="I51" s="5"/>
    </row>
    <row r="52" spans="1:9" ht="44" customHeight="1" x14ac:dyDescent="0.25">
      <c r="A52" s="15" t="s">
        <v>865</v>
      </c>
      <c r="B52" s="5" t="s">
        <v>866</v>
      </c>
      <c r="C52" s="5"/>
      <c r="D52" s="5"/>
      <c r="E52" s="5"/>
      <c r="F52" s="5"/>
      <c r="G52" s="5"/>
      <c r="H52" s="5"/>
      <c r="I52" s="5"/>
    </row>
    <row r="53" spans="1:9" ht="44" customHeight="1" x14ac:dyDescent="0.25">
      <c r="A53" s="15" t="s">
        <v>867</v>
      </c>
      <c r="B53" s="5" t="s">
        <v>868</v>
      </c>
      <c r="C53" s="5"/>
      <c r="D53" s="5"/>
      <c r="E53" s="5"/>
      <c r="F53" s="5"/>
      <c r="G53" s="5"/>
      <c r="H53" s="5"/>
      <c r="I53" s="5"/>
    </row>
    <row r="54" spans="1:9" ht="44" customHeight="1" x14ac:dyDescent="0.25">
      <c r="A54" s="15" t="s">
        <v>869</v>
      </c>
      <c r="B54" s="5" t="s">
        <v>870</v>
      </c>
      <c r="C54" s="5"/>
      <c r="D54" s="5"/>
      <c r="E54" s="5"/>
      <c r="F54" s="5"/>
      <c r="G54" s="5"/>
      <c r="H54" s="5"/>
      <c r="I54" s="5"/>
    </row>
    <row r="55" spans="1:9" ht="44" customHeight="1" x14ac:dyDescent="0.25">
      <c r="A55" s="15" t="s">
        <v>871</v>
      </c>
      <c r="B55" s="5" t="s">
        <v>872</v>
      </c>
      <c r="C55" s="5"/>
      <c r="D55" s="5"/>
      <c r="E55" s="5"/>
      <c r="F55" s="5"/>
      <c r="G55" s="5"/>
      <c r="H55" s="5"/>
      <c r="I55" s="5"/>
    </row>
    <row r="56" spans="1:9" ht="44" customHeight="1" x14ac:dyDescent="0.25">
      <c r="A56" s="15" t="s">
        <v>873</v>
      </c>
      <c r="B56" s="5" t="s">
        <v>874</v>
      </c>
      <c r="C56" s="5"/>
      <c r="D56" s="5"/>
      <c r="E56" s="5"/>
      <c r="F56" s="5"/>
      <c r="G56" s="5"/>
      <c r="H56" s="5"/>
      <c r="I56" s="5"/>
    </row>
    <row r="57" spans="1:9" ht="44" customHeight="1" x14ac:dyDescent="0.25">
      <c r="A57" s="15" t="s">
        <v>875</v>
      </c>
      <c r="B57" s="5" t="s">
        <v>876</v>
      </c>
      <c r="C57" s="5"/>
      <c r="D57" s="5"/>
      <c r="E57" s="5"/>
      <c r="F57" s="5"/>
      <c r="G57" s="5"/>
      <c r="H57" s="5"/>
      <c r="I57" s="5"/>
    </row>
    <row r="58" spans="1:9" ht="44" customHeight="1" x14ac:dyDescent="0.25">
      <c r="A58" s="15" t="s">
        <v>877</v>
      </c>
      <c r="B58" s="5" t="s">
        <v>878</v>
      </c>
      <c r="C58" s="5"/>
      <c r="D58" s="5"/>
      <c r="E58" s="5"/>
      <c r="F58" s="5"/>
      <c r="G58" s="5"/>
      <c r="H58" s="5"/>
      <c r="I58" s="5"/>
    </row>
    <row r="59" spans="1:9" ht="44" customHeight="1" x14ac:dyDescent="0.25">
      <c r="A59" s="15" t="s">
        <v>879</v>
      </c>
      <c r="B59" s="5" t="s">
        <v>880</v>
      </c>
      <c r="C59" s="5"/>
      <c r="D59" s="5"/>
      <c r="E59" s="5"/>
      <c r="F59" s="5"/>
      <c r="G59" s="5"/>
      <c r="H59" s="5"/>
      <c r="I59" s="5"/>
    </row>
  </sheetData>
  <mergeCells count="21">
    <mergeCell ref="B36:I36"/>
    <mergeCell ref="B37:I37"/>
    <mergeCell ref="B38:I38"/>
    <mergeCell ref="B39:I39"/>
    <mergeCell ref="B40:I40"/>
    <mergeCell ref="B41:I41"/>
    <mergeCell ref="B42:I42"/>
    <mergeCell ref="B43:I43"/>
    <mergeCell ref="B44:I44"/>
    <mergeCell ref="B45:I45"/>
    <mergeCell ref="B46:I46"/>
    <mergeCell ref="B50:I50"/>
    <mergeCell ref="B51:I51"/>
    <mergeCell ref="B52:I52"/>
    <mergeCell ref="B53:I53"/>
    <mergeCell ref="B54:I54"/>
    <mergeCell ref="B55:I55"/>
    <mergeCell ref="B56:I56"/>
    <mergeCell ref="B57:I57"/>
    <mergeCell ref="B58:I58"/>
    <mergeCell ref="B59:I59"/>
  </mergeCells>
  <conditionalFormatting sqref="C21:C32">
    <cfRule type="colorScale" priority="3">
      <colorScale>
        <cfvo type="num" val="0"/>
        <cfvo type="num" val="1.5"/>
        <cfvo type="num" val="3"/>
        <color rgb="FFF8696B"/>
        <color rgb="FFFFEB84"/>
        <color rgb="FF63BE7B"/>
      </colorScale>
    </cfRule>
  </conditionalFormatting>
  <conditionalFormatting sqref="C6:C16">
    <cfRule type="dataBar" priority="2">
      <dataBar>
        <cfvo type="min"/>
        <cfvo type="max"/>
        <color rgb="FF93C5FD"/>
      </dataBar>
      <extLst>
        <ext xmlns:x14="http://schemas.microsoft.com/office/spreadsheetml/2009/9/main" uri="{B025F937-C7B1-47D3-B67F-A62EFF666E3E}">
          <x14:id>{DA7ABA51-AAAA-BBBB-0002-000000000001}</x14:id>
        </ext>
      </extLst>
    </cfRule>
  </conditionalFormatting>
  <conditionalFormatting sqref="D6:I16">
    <cfRule type="colorScale" priority="1">
      <colorScale>
        <cfvo type="num" val="0"/>
        <cfvo type="num" val="1.5"/>
        <cfvo type="num" val="3"/>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93C5FD"/>
              <x14:negativeFillColor rgb="FFFF0000"/>
              <x14:negativeBorderColor rgb="FFFF0000"/>
              <x14:axisColor rgb="FF000000"/>
            </x14:dataBar>
          </x14:cfRule>
          <xm:sqref>C6:C16</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BM83"/>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27.7109375" customWidth="1"/>
    <col min="2" max="2" width="15.7109375" customWidth="1"/>
    <col min="3" max="3" width="50.7109375" customWidth="1"/>
    <col min="4" max="4" width="10.7109375" customWidth="1"/>
    <col min="5" max="5" width="30.7109375" customWidth="1"/>
    <col min="6" max="6" width="19.7109375" customWidth="1"/>
    <col min="7" max="7" width="9.7109375" customWidth="1"/>
    <col min="8" max="8" width="44.7109375" customWidth="1"/>
    <col min="9" max="65" width="5" customWidth="1"/>
  </cols>
  <sheetData>
    <row r="1" spans="1:65">
      <c r="A1" s="1" t="s">
        <v>0</v>
      </c>
    </row>
    <row r="2" spans="1:65">
      <c r="A2" s="2" t="s">
        <v>1</v>
      </c>
    </row>
    <row r="3" spans="1:65" ht="30" customHeight="1">
      <c r="A3" s="10" t="s">
        <v>2</v>
      </c>
      <c r="B3" s="10" t="s">
        <v>3</v>
      </c>
      <c r="C3" s="10" t="s">
        <v>4</v>
      </c>
      <c r="D3" s="10" t="s">
        <v>5</v>
      </c>
      <c r="E3" s="10" t="s">
        <v>6</v>
      </c>
      <c r="F3" s="10" t="s">
        <v>7</v>
      </c>
      <c r="G3" s="10" t="s">
        <v>8</v>
      </c>
      <c r="H3" s="10" t="s">
        <v>9</v>
      </c>
      <c r="I3" s="16" t="s">
        <v>10</v>
      </c>
      <c r="J3" s="16"/>
      <c r="K3" s="16"/>
      <c r="L3" s="16"/>
      <c r="M3" s="16"/>
      <c r="N3" s="16"/>
      <c r="O3" s="16"/>
      <c r="P3" s="16"/>
      <c r="Q3" s="16"/>
      <c r="R3" s="16"/>
      <c r="S3" s="16"/>
      <c r="T3" s="16"/>
      <c r="U3" s="16"/>
      <c r="V3" s="16"/>
      <c r="W3" s="16"/>
      <c r="X3" s="16"/>
      <c r="Y3" s="16"/>
      <c r="Z3" s="17" t="s">
        <v>11</v>
      </c>
      <c r="AA3" s="17"/>
      <c r="AB3" s="17"/>
      <c r="AC3" s="17"/>
      <c r="AD3" s="17"/>
      <c r="AE3" s="17"/>
      <c r="AF3" s="17"/>
      <c r="AG3" s="17"/>
      <c r="AH3" s="17"/>
      <c r="AI3" s="17"/>
      <c r="AJ3" s="17"/>
      <c r="AK3" s="17"/>
      <c r="AL3" s="17"/>
      <c r="AM3" s="17"/>
      <c r="AN3" s="18" t="s">
        <v>12</v>
      </c>
      <c r="AO3" s="18"/>
      <c r="AP3" s="18"/>
      <c r="AQ3" s="18"/>
      <c r="AR3" s="18"/>
      <c r="AS3" s="18"/>
      <c r="AT3" s="18"/>
      <c r="AU3" s="18"/>
      <c r="AV3" s="18"/>
      <c r="AW3" s="18"/>
      <c r="AX3" s="18"/>
      <c r="AY3" s="18"/>
      <c r="AZ3" s="19" t="s">
        <v>13</v>
      </c>
      <c r="BA3" s="19"/>
      <c r="BB3" s="20" t="s">
        <v>14</v>
      </c>
      <c r="BC3" s="20"/>
      <c r="BD3" s="20"/>
      <c r="BE3" s="20"/>
      <c r="BF3" s="20"/>
      <c r="BG3" s="21" t="s">
        <v>65</v>
      </c>
      <c r="BH3" s="21"/>
      <c r="BI3" s="21"/>
      <c r="BJ3" s="21"/>
      <c r="BK3" s="21"/>
      <c r="BL3" s="21"/>
      <c r="BM3" s="21"/>
    </row>
    <row r="4" spans="1:65" ht="150" customHeight="1">
      <c r="A4" s="10"/>
      <c r="B4" s="10"/>
      <c r="C4" s="10"/>
      <c r="D4" s="10"/>
      <c r="E4" s="10"/>
      <c r="F4" s="10"/>
      <c r="G4" s="10"/>
      <c r="H4" s="10"/>
      <c r="I4" s="22" t="s">
        <v>15</v>
      </c>
      <c r="J4" s="22" t="s">
        <v>16</v>
      </c>
      <c r="K4" s="22" t="s">
        <v>17</v>
      </c>
      <c r="L4" s="22" t="s">
        <v>18</v>
      </c>
      <c r="M4" s="22" t="s">
        <v>19</v>
      </c>
      <c r="N4" s="22" t="s">
        <v>20</v>
      </c>
      <c r="O4" s="22" t="s">
        <v>21</v>
      </c>
      <c r="P4" s="22" t="s">
        <v>22</v>
      </c>
      <c r="Q4" s="22" t="s">
        <v>23</v>
      </c>
      <c r="R4" s="22" t="s">
        <v>24</v>
      </c>
      <c r="S4" s="22" t="s">
        <v>25</v>
      </c>
      <c r="T4" s="22" t="s">
        <v>26</v>
      </c>
      <c r="U4" s="22" t="s">
        <v>27</v>
      </c>
      <c r="V4" s="22" t="s">
        <v>28</v>
      </c>
      <c r="W4" s="22" t="s">
        <v>29</v>
      </c>
      <c r="X4" s="22" t="s">
        <v>30</v>
      </c>
      <c r="Y4" s="22" t="s">
        <v>31</v>
      </c>
      <c r="Z4" s="22" t="s">
        <v>32</v>
      </c>
      <c r="AA4" s="22" t="s">
        <v>33</v>
      </c>
      <c r="AB4" s="22" t="s">
        <v>34</v>
      </c>
      <c r="AC4" s="22" t="s">
        <v>35</v>
      </c>
      <c r="AD4" s="22" t="s">
        <v>36</v>
      </c>
      <c r="AE4" s="22" t="s">
        <v>37</v>
      </c>
      <c r="AF4" s="22" t="s">
        <v>38</v>
      </c>
      <c r="AG4" s="22" t="s">
        <v>39</v>
      </c>
      <c r="AH4" s="22" t="s">
        <v>40</v>
      </c>
      <c r="AI4" s="22" t="s">
        <v>41</v>
      </c>
      <c r="AJ4" s="22" t="s">
        <v>42</v>
      </c>
      <c r="AK4" s="22" t="s">
        <v>43</v>
      </c>
      <c r="AL4" s="22" t="s">
        <v>44</v>
      </c>
      <c r="AM4" s="22" t="s">
        <v>45</v>
      </c>
      <c r="AN4" s="22" t="s">
        <v>46</v>
      </c>
      <c r="AO4" s="22" t="s">
        <v>47</v>
      </c>
      <c r="AP4" s="22" t="s">
        <v>48</v>
      </c>
      <c r="AQ4" s="22" t="s">
        <v>49</v>
      </c>
      <c r="AR4" s="22" t="s">
        <v>50</v>
      </c>
      <c r="AS4" s="22" t="s">
        <v>51</v>
      </c>
      <c r="AT4" s="22" t="s">
        <v>52</v>
      </c>
      <c r="AU4" s="22" t="s">
        <v>53</v>
      </c>
      <c r="AV4" s="22" t="s">
        <v>54</v>
      </c>
      <c r="AW4" s="22" t="s">
        <v>55</v>
      </c>
      <c r="AX4" s="22" t="s">
        <v>56</v>
      </c>
      <c r="AY4" s="22" t="s">
        <v>57</v>
      </c>
      <c r="AZ4" s="22" t="s">
        <v>58</v>
      </c>
      <c r="BA4" s="22" t="s">
        <v>59</v>
      </c>
      <c r="BB4" s="22" t="s">
        <v>60</v>
      </c>
      <c r="BC4" s="22" t="s">
        <v>61</v>
      </c>
      <c r="BD4" s="22" t="s">
        <v>62</v>
      </c>
      <c r="BE4" s="22" t="s">
        <v>63</v>
      </c>
      <c r="BF4" s="22" t="s">
        <v>64</v>
      </c>
      <c r="BG4" s="22" t="s">
        <v>66</v>
      </c>
      <c r="BH4" s="22" t="s">
        <v>67</v>
      </c>
      <c r="BI4" s="22" t="s">
        <v>68</v>
      </c>
      <c r="BJ4" s="22" t="s">
        <v>13</v>
      </c>
      <c r="BK4" s="22" t="s">
        <v>14</v>
      </c>
      <c r="BL4" s="22" t="s">
        <v>69</v>
      </c>
      <c r="BM4" s="22" t="s">
        <v>70</v>
      </c>
    </row>
    <row r="5" spans="1:65">
      <c r="A5" s="3" t="s">
        <v>71</v>
      </c>
      <c r="B5" t="s">
        <v>72</v>
      </c>
      <c r="C5" t="s">
        <v>73</v>
      </c>
      <c r="D5" s="12">
        <v>3365.9</v>
      </c>
      <c r="E5" t="s">
        <v>74</v>
      </c>
      <c r="F5" t="s">
        <v>75</v>
      </c>
      <c r="G5" s="23">
        <v>0.12</v>
      </c>
      <c r="I5" s="24">
        <v>1</v>
      </c>
      <c r="J5" s="24">
        <v>2</v>
      </c>
      <c r="K5" s="24">
        <v>2</v>
      </c>
      <c r="L5" s="24">
        <v>1</v>
      </c>
      <c r="M5" s="24">
        <v>1</v>
      </c>
      <c r="N5" s="24">
        <v>1</v>
      </c>
      <c r="O5" s="24">
        <v>1</v>
      </c>
      <c r="P5" s="24">
        <v>1</v>
      </c>
      <c r="Q5" s="24">
        <v>3</v>
      </c>
      <c r="R5" s="24">
        <v>1</v>
      </c>
      <c r="S5" s="24">
        <v>0</v>
      </c>
      <c r="T5" s="24">
        <v>1</v>
      </c>
      <c r="U5" s="24">
        <v>1</v>
      </c>
      <c r="V5" s="24">
        <v>0</v>
      </c>
      <c r="W5" s="24">
        <v>2</v>
      </c>
      <c r="X5" s="24">
        <v>2</v>
      </c>
      <c r="Y5" s="6" t="s">
        <v>76</v>
      </c>
      <c r="Z5" s="24">
        <v>1</v>
      </c>
      <c r="AA5" s="24">
        <v>0</v>
      </c>
      <c r="AB5" s="24">
        <v>1</v>
      </c>
      <c r="AC5" s="24">
        <v>1</v>
      </c>
      <c r="AD5" s="24">
        <v>1</v>
      </c>
      <c r="AE5" s="24">
        <v>2</v>
      </c>
      <c r="AF5" s="24">
        <v>2</v>
      </c>
      <c r="AG5" s="24">
        <v>1</v>
      </c>
      <c r="AH5" s="24">
        <v>2</v>
      </c>
      <c r="AI5" s="24">
        <v>1</v>
      </c>
      <c r="AJ5" s="24">
        <v>1</v>
      </c>
      <c r="AK5" s="24">
        <v>1</v>
      </c>
      <c r="AL5" s="24">
        <v>3</v>
      </c>
      <c r="AM5" s="24">
        <v>0</v>
      </c>
      <c r="AN5" s="24">
        <v>2</v>
      </c>
      <c r="AO5" s="24">
        <v>2</v>
      </c>
      <c r="AP5" s="6" t="s">
        <v>76</v>
      </c>
      <c r="AQ5" s="24">
        <v>2</v>
      </c>
      <c r="AR5" s="24">
        <v>2</v>
      </c>
      <c r="AS5" s="24">
        <v>1</v>
      </c>
      <c r="AT5" s="24">
        <v>0</v>
      </c>
      <c r="AU5" s="24">
        <v>2</v>
      </c>
      <c r="AV5" s="6" t="s">
        <v>76</v>
      </c>
      <c r="AW5" s="6" t="s">
        <v>76</v>
      </c>
      <c r="AX5" s="24">
        <v>3</v>
      </c>
      <c r="AY5" s="6" t="s">
        <v>76</v>
      </c>
      <c r="AZ5" s="24">
        <v>3</v>
      </c>
      <c r="BA5" s="24">
        <v>1</v>
      </c>
      <c r="BB5" s="24">
        <v>2</v>
      </c>
      <c r="BC5" s="24">
        <v>2</v>
      </c>
      <c r="BD5" s="24">
        <v>2</v>
      </c>
      <c r="BE5" s="24">
        <v>2</v>
      </c>
      <c r="BF5" s="24">
        <v>0</v>
      </c>
      <c r="BG5" s="13">
        <f>IFERROR(AVERAGE(I5:Y5),"–")</f>
        <v>1.25</v>
      </c>
      <c r="BH5" s="13">
        <f>IFERROR(AVERAGE(Z5:AM5),"–")</f>
        <v>1.2142857142857142</v>
      </c>
      <c r="BI5" s="13">
        <f>IFERROR(AVERAGE(AN5:AY5),"–")</f>
        <v>1.75</v>
      </c>
      <c r="BJ5" s="13">
        <f>IFERROR(AVERAGE(AZ5:BA5),"–")</f>
        <v>2.0</v>
      </c>
      <c r="BK5" s="13">
        <f>IFERROR(AVERAGE(BB5:BF5),"–")</f>
        <v>1.6</v>
      </c>
      <c r="BL5" s="14">
        <f>IFERROR(AVERAGE(I5:BF5),"–")</f>
        <v>1.4</v>
      </c>
      <c r="BM5" s="11">
        <f>COUNTIF(I5:BF5,0)</f>
        <v>6</v>
      </c>
    </row>
    <row r="6" spans="1:65">
      <c r="A6" s="3" t="s">
        <v>71</v>
      </c>
      <c r="B6" t="s">
        <v>77</v>
      </c>
      <c r="C6" t="s">
        <v>78</v>
      </c>
      <c r="D6" s="12">
        <v>3349.2</v>
      </c>
      <c r="E6" t="s">
        <v>74</v>
      </c>
      <c r="F6" t="s">
        <v>75</v>
      </c>
      <c r="G6" s="23">
        <v>0.12</v>
      </c>
      <c r="I6" s="24">
        <v>1</v>
      </c>
      <c r="J6" s="24">
        <v>2</v>
      </c>
      <c r="K6" s="24">
        <v>2</v>
      </c>
      <c r="L6" s="24">
        <v>1</v>
      </c>
      <c r="M6" s="24">
        <v>1</v>
      </c>
      <c r="N6" s="24">
        <v>1</v>
      </c>
      <c r="O6" s="24">
        <v>1</v>
      </c>
      <c r="P6" s="24">
        <v>1</v>
      </c>
      <c r="Q6" s="24">
        <v>3</v>
      </c>
      <c r="R6" s="24">
        <v>1</v>
      </c>
      <c r="S6" s="24">
        <v>0</v>
      </c>
      <c r="T6" s="24">
        <v>1</v>
      </c>
      <c r="U6" s="24">
        <v>1</v>
      </c>
      <c r="V6" s="24">
        <v>0</v>
      </c>
      <c r="W6" s="24">
        <v>2</v>
      </c>
      <c r="X6" s="24">
        <v>2</v>
      </c>
      <c r="Y6" s="6" t="s">
        <v>76</v>
      </c>
      <c r="Z6" s="24">
        <v>1</v>
      </c>
      <c r="AA6" s="24">
        <v>0</v>
      </c>
      <c r="AB6" s="24">
        <v>1</v>
      </c>
      <c r="AC6" s="24">
        <v>1</v>
      </c>
      <c r="AD6" s="24">
        <v>1</v>
      </c>
      <c r="AE6" s="24">
        <v>2</v>
      </c>
      <c r="AF6" s="24">
        <v>2</v>
      </c>
      <c r="AG6" s="24">
        <v>1</v>
      </c>
      <c r="AH6" s="24">
        <v>2</v>
      </c>
      <c r="AI6" s="24">
        <v>1</v>
      </c>
      <c r="AJ6" s="24">
        <v>1</v>
      </c>
      <c r="AK6" s="24">
        <v>1</v>
      </c>
      <c r="AL6" s="24">
        <v>3</v>
      </c>
      <c r="AM6" s="24">
        <v>0</v>
      </c>
      <c r="AN6" s="24">
        <v>2</v>
      </c>
      <c r="AO6" s="24">
        <v>2</v>
      </c>
      <c r="AP6" s="6" t="s">
        <v>76</v>
      </c>
      <c r="AQ6" s="24">
        <v>2</v>
      </c>
      <c r="AR6" s="24">
        <v>2</v>
      </c>
      <c r="AS6" s="24">
        <v>1</v>
      </c>
      <c r="AT6" s="24">
        <v>0</v>
      </c>
      <c r="AU6" s="24">
        <v>2</v>
      </c>
      <c r="AV6" s="6" t="s">
        <v>76</v>
      </c>
      <c r="AW6" s="6" t="s">
        <v>76</v>
      </c>
      <c r="AX6" s="24">
        <v>3</v>
      </c>
      <c r="AY6" s="6" t="s">
        <v>76</v>
      </c>
      <c r="AZ6" s="24">
        <v>3</v>
      </c>
      <c r="BA6" s="24">
        <v>1</v>
      </c>
      <c r="BB6" s="24">
        <v>2</v>
      </c>
      <c r="BC6" s="24">
        <v>2</v>
      </c>
      <c r="BD6" s="24">
        <v>2</v>
      </c>
      <c r="BE6" s="24">
        <v>2</v>
      </c>
      <c r="BF6" s="24">
        <v>0</v>
      </c>
      <c r="BG6" s="13">
        <f>IFERROR(AVERAGE(I6:Y6),"–")</f>
        <v>1.25</v>
      </c>
      <c r="BH6" s="13">
        <f>IFERROR(AVERAGE(Z6:AM6),"–")</f>
        <v>1.2142857142857142</v>
      </c>
      <c r="BI6" s="13">
        <f>IFERROR(AVERAGE(AN6:AY6),"–")</f>
        <v>1.75</v>
      </c>
      <c r="BJ6" s="13">
        <f>IFERROR(AVERAGE(AZ6:BA6),"–")</f>
        <v>2.0</v>
      </c>
      <c r="BK6" s="13">
        <f>IFERROR(AVERAGE(BB6:BF6),"–")</f>
        <v>1.6</v>
      </c>
      <c r="BL6" s="14">
        <f>IFERROR(AVERAGE(I6:BF6),"–")</f>
        <v>1.4</v>
      </c>
      <c r="BM6" s="11">
        <f>COUNTIF(I6:BF6,0)</f>
        <v>6</v>
      </c>
    </row>
    <row r="7" spans="1:65">
      <c r="A7" s="3" t="s">
        <v>71</v>
      </c>
      <c r="B7" t="s">
        <v>79</v>
      </c>
      <c r="C7" t="s">
        <v>80</v>
      </c>
      <c r="D7" s="12">
        <v>2186.1</v>
      </c>
      <c r="E7" t="s">
        <v>74</v>
      </c>
      <c r="F7" t="s">
        <v>75</v>
      </c>
      <c r="G7" s="23">
        <v>0.12</v>
      </c>
      <c r="I7" s="24">
        <v>1</v>
      </c>
      <c r="J7" s="24">
        <v>2</v>
      </c>
      <c r="K7" s="24">
        <v>1</v>
      </c>
      <c r="L7" s="24">
        <v>1</v>
      </c>
      <c r="M7" s="24">
        <v>1</v>
      </c>
      <c r="N7" s="24">
        <v>1</v>
      </c>
      <c r="O7" s="24">
        <v>1</v>
      </c>
      <c r="P7" s="24">
        <v>1</v>
      </c>
      <c r="Q7" s="24">
        <v>3</v>
      </c>
      <c r="R7" s="24">
        <v>1</v>
      </c>
      <c r="S7" s="24">
        <v>0</v>
      </c>
      <c r="T7" s="24">
        <v>1</v>
      </c>
      <c r="U7" s="24">
        <v>1</v>
      </c>
      <c r="V7" s="24">
        <v>0</v>
      </c>
      <c r="W7" s="24">
        <v>2</v>
      </c>
      <c r="X7" s="24">
        <v>2</v>
      </c>
      <c r="Y7" s="6" t="s">
        <v>76</v>
      </c>
      <c r="Z7" s="24">
        <v>1</v>
      </c>
      <c r="AA7" s="24">
        <v>0</v>
      </c>
      <c r="AB7" s="24">
        <v>1</v>
      </c>
      <c r="AC7" s="24">
        <v>1</v>
      </c>
      <c r="AD7" s="24">
        <v>1</v>
      </c>
      <c r="AE7" s="24">
        <v>2</v>
      </c>
      <c r="AF7" s="24">
        <v>2</v>
      </c>
      <c r="AG7" s="24">
        <v>1</v>
      </c>
      <c r="AH7" s="24">
        <v>2</v>
      </c>
      <c r="AI7" s="24">
        <v>1</v>
      </c>
      <c r="AJ7" s="24">
        <v>1</v>
      </c>
      <c r="AK7" s="24">
        <v>1</v>
      </c>
      <c r="AL7" s="24">
        <v>3</v>
      </c>
      <c r="AM7" s="24">
        <v>0</v>
      </c>
      <c r="AN7" s="24">
        <v>2</v>
      </c>
      <c r="AO7" s="24">
        <v>2</v>
      </c>
      <c r="AP7" s="6" t="s">
        <v>76</v>
      </c>
      <c r="AQ7" s="24">
        <v>2</v>
      </c>
      <c r="AR7" s="24">
        <v>2</v>
      </c>
      <c r="AS7" s="24">
        <v>1</v>
      </c>
      <c r="AT7" s="24">
        <v>0</v>
      </c>
      <c r="AU7" s="24">
        <v>2</v>
      </c>
      <c r="AV7" s="6" t="s">
        <v>76</v>
      </c>
      <c r="AW7" s="6" t="s">
        <v>76</v>
      </c>
      <c r="AX7" s="24">
        <v>3</v>
      </c>
      <c r="AY7" s="6" t="s">
        <v>76</v>
      </c>
      <c r="AZ7" s="24">
        <v>3</v>
      </c>
      <c r="BA7" s="24">
        <v>1</v>
      </c>
      <c r="BB7" s="24">
        <v>2</v>
      </c>
      <c r="BC7" s="24">
        <v>2</v>
      </c>
      <c r="BD7" s="24">
        <v>2</v>
      </c>
      <c r="BE7" s="24">
        <v>2</v>
      </c>
      <c r="BF7" s="24">
        <v>0</v>
      </c>
      <c r="BG7" s="13">
        <f>IFERROR(AVERAGE(I7:Y7),"–")</f>
        <v>1.1875</v>
      </c>
      <c r="BH7" s="13">
        <f>IFERROR(AVERAGE(Z7:AM7),"–")</f>
        <v>1.2142857142857142</v>
      </c>
      <c r="BI7" s="13">
        <f>IFERROR(AVERAGE(AN7:AY7),"–")</f>
        <v>1.75</v>
      </c>
      <c r="BJ7" s="13">
        <f>IFERROR(AVERAGE(AZ7:BA7),"–")</f>
        <v>2.0</v>
      </c>
      <c r="BK7" s="13">
        <f>IFERROR(AVERAGE(BB7:BF7),"–")</f>
        <v>1.6</v>
      </c>
      <c r="BL7" s="14">
        <f>IFERROR(AVERAGE(I7:BF7),"–")</f>
        <v>1.3777777777777778</v>
      </c>
      <c r="BM7" s="11">
        <f>COUNTIF(I7:BF7,0)</f>
        <v>6</v>
      </c>
    </row>
    <row r="8" spans="1:65">
      <c r="A8" s="3" t="s">
        <v>71</v>
      </c>
      <c r="B8" t="s">
        <v>81</v>
      </c>
      <c r="C8" t="s">
        <v>82</v>
      </c>
      <c r="D8" s="12">
        <v>1964.9</v>
      </c>
      <c r="E8" t="s">
        <v>74</v>
      </c>
      <c r="F8" t="s">
        <v>75</v>
      </c>
      <c r="G8" s="23">
        <v>0.12</v>
      </c>
      <c r="I8" s="24">
        <v>1</v>
      </c>
      <c r="J8" s="24">
        <v>2</v>
      </c>
      <c r="K8" s="24">
        <v>2</v>
      </c>
      <c r="L8" s="24">
        <v>1</v>
      </c>
      <c r="M8" s="24">
        <v>1</v>
      </c>
      <c r="N8" s="24">
        <v>1</v>
      </c>
      <c r="O8" s="24">
        <v>1</v>
      </c>
      <c r="P8" s="24">
        <v>1</v>
      </c>
      <c r="Q8" s="24">
        <v>3</v>
      </c>
      <c r="R8" s="24">
        <v>1</v>
      </c>
      <c r="S8" s="24">
        <v>0</v>
      </c>
      <c r="T8" s="24">
        <v>1</v>
      </c>
      <c r="U8" s="24">
        <v>1</v>
      </c>
      <c r="V8" s="24">
        <v>0</v>
      </c>
      <c r="W8" s="24">
        <v>2</v>
      </c>
      <c r="X8" s="24">
        <v>2</v>
      </c>
      <c r="Y8" s="6" t="s">
        <v>76</v>
      </c>
      <c r="Z8" s="24">
        <v>1</v>
      </c>
      <c r="AA8" s="24">
        <v>0</v>
      </c>
      <c r="AB8" s="24">
        <v>1</v>
      </c>
      <c r="AC8" s="24">
        <v>1</v>
      </c>
      <c r="AD8" s="24">
        <v>1</v>
      </c>
      <c r="AE8" s="24">
        <v>2</v>
      </c>
      <c r="AF8" s="24">
        <v>2</v>
      </c>
      <c r="AG8" s="24">
        <v>1</v>
      </c>
      <c r="AH8" s="24">
        <v>2</v>
      </c>
      <c r="AI8" s="24">
        <v>1</v>
      </c>
      <c r="AJ8" s="24">
        <v>1</v>
      </c>
      <c r="AK8" s="24">
        <v>1</v>
      </c>
      <c r="AL8" s="24">
        <v>3</v>
      </c>
      <c r="AM8" s="24">
        <v>0</v>
      </c>
      <c r="AN8" s="24">
        <v>2</v>
      </c>
      <c r="AO8" s="24">
        <v>2</v>
      </c>
      <c r="AP8" s="6" t="s">
        <v>76</v>
      </c>
      <c r="AQ8" s="24">
        <v>2</v>
      </c>
      <c r="AR8" s="24">
        <v>2</v>
      </c>
      <c r="AS8" s="24">
        <v>1</v>
      </c>
      <c r="AT8" s="24">
        <v>0</v>
      </c>
      <c r="AU8" s="24">
        <v>2</v>
      </c>
      <c r="AV8" s="6" t="s">
        <v>76</v>
      </c>
      <c r="AW8" s="6" t="s">
        <v>76</v>
      </c>
      <c r="AX8" s="24">
        <v>3</v>
      </c>
      <c r="AY8" s="6" t="s">
        <v>76</v>
      </c>
      <c r="AZ8" s="24">
        <v>3</v>
      </c>
      <c r="BA8" s="24">
        <v>1</v>
      </c>
      <c r="BB8" s="24">
        <v>2</v>
      </c>
      <c r="BC8" s="24">
        <v>2</v>
      </c>
      <c r="BD8" s="24">
        <v>2</v>
      </c>
      <c r="BE8" s="24">
        <v>2</v>
      </c>
      <c r="BF8" s="24">
        <v>0</v>
      </c>
      <c r="BG8" s="13">
        <f>IFERROR(AVERAGE(I8:Y8),"–")</f>
        <v>1.25</v>
      </c>
      <c r="BH8" s="13">
        <f>IFERROR(AVERAGE(Z8:AM8),"–")</f>
        <v>1.2142857142857142</v>
      </c>
      <c r="BI8" s="13">
        <f>IFERROR(AVERAGE(AN8:AY8),"–")</f>
        <v>1.75</v>
      </c>
      <c r="BJ8" s="13">
        <f>IFERROR(AVERAGE(AZ8:BA8),"–")</f>
        <v>2.0</v>
      </c>
      <c r="BK8" s="13">
        <f>IFERROR(AVERAGE(BB8:BF8),"–")</f>
        <v>1.6</v>
      </c>
      <c r="BL8" s="14">
        <f>IFERROR(AVERAGE(I8:BF8),"–")</f>
        <v>1.4</v>
      </c>
      <c r="BM8" s="11">
        <f>COUNTIF(I8:BF8,0)</f>
        <v>6</v>
      </c>
    </row>
    <row r="9" spans="1:65">
      <c r="A9" s="3" t="s">
        <v>71</v>
      </c>
      <c r="B9" t="s">
        <v>83</v>
      </c>
      <c r="C9" t="s">
        <v>84</v>
      </c>
      <c r="D9" s="12">
        <v>773.7</v>
      </c>
      <c r="E9" t="s">
        <v>74</v>
      </c>
      <c r="F9" t="s">
        <v>75</v>
      </c>
      <c r="G9" s="23">
        <v>0.12</v>
      </c>
      <c r="I9" s="24">
        <v>1</v>
      </c>
      <c r="J9" s="24">
        <v>2</v>
      </c>
      <c r="K9" s="24">
        <v>2</v>
      </c>
      <c r="L9" s="24">
        <v>1</v>
      </c>
      <c r="M9" s="24">
        <v>1</v>
      </c>
      <c r="N9" s="24">
        <v>1</v>
      </c>
      <c r="O9" s="24">
        <v>1</v>
      </c>
      <c r="P9" s="24">
        <v>1</v>
      </c>
      <c r="Q9" s="24">
        <v>3</v>
      </c>
      <c r="R9" s="24">
        <v>1</v>
      </c>
      <c r="S9" s="24">
        <v>0</v>
      </c>
      <c r="T9" s="24">
        <v>1</v>
      </c>
      <c r="U9" s="24">
        <v>1</v>
      </c>
      <c r="V9" s="24">
        <v>0</v>
      </c>
      <c r="W9" s="24">
        <v>2</v>
      </c>
      <c r="X9" s="24">
        <v>2</v>
      </c>
      <c r="Y9" s="6" t="s">
        <v>76</v>
      </c>
      <c r="Z9" s="24">
        <v>1</v>
      </c>
      <c r="AA9" s="24">
        <v>0</v>
      </c>
      <c r="AB9" s="24">
        <v>1</v>
      </c>
      <c r="AC9" s="24">
        <v>1</v>
      </c>
      <c r="AD9" s="24">
        <v>1</v>
      </c>
      <c r="AE9" s="24">
        <v>2</v>
      </c>
      <c r="AF9" s="24">
        <v>2</v>
      </c>
      <c r="AG9" s="24">
        <v>1</v>
      </c>
      <c r="AH9" s="24">
        <v>2</v>
      </c>
      <c r="AI9" s="24">
        <v>1</v>
      </c>
      <c r="AJ9" s="24">
        <v>1</v>
      </c>
      <c r="AK9" s="24">
        <v>1</v>
      </c>
      <c r="AL9" s="24">
        <v>3</v>
      </c>
      <c r="AM9" s="24">
        <v>0</v>
      </c>
      <c r="AN9" s="24">
        <v>2</v>
      </c>
      <c r="AO9" s="24">
        <v>2</v>
      </c>
      <c r="AP9" s="6" t="s">
        <v>76</v>
      </c>
      <c r="AQ9" s="24">
        <v>2</v>
      </c>
      <c r="AR9" s="24">
        <v>2</v>
      </c>
      <c r="AS9" s="24">
        <v>1</v>
      </c>
      <c r="AT9" s="24">
        <v>0</v>
      </c>
      <c r="AU9" s="24">
        <v>2</v>
      </c>
      <c r="AV9" s="6" t="s">
        <v>76</v>
      </c>
      <c r="AW9" s="6" t="s">
        <v>76</v>
      </c>
      <c r="AX9" s="24">
        <v>3</v>
      </c>
      <c r="AY9" s="6" t="s">
        <v>76</v>
      </c>
      <c r="AZ9" s="24">
        <v>3</v>
      </c>
      <c r="BA9" s="24">
        <v>1</v>
      </c>
      <c r="BB9" s="24">
        <v>2</v>
      </c>
      <c r="BC9" s="24">
        <v>2</v>
      </c>
      <c r="BD9" s="24">
        <v>2</v>
      </c>
      <c r="BE9" s="24">
        <v>2</v>
      </c>
      <c r="BF9" s="24">
        <v>0</v>
      </c>
      <c r="BG9" s="13">
        <f>IFERROR(AVERAGE(I9:Y9),"–")</f>
        <v>1.25</v>
      </c>
      <c r="BH9" s="13">
        <f>IFERROR(AVERAGE(Z9:AM9),"–")</f>
        <v>1.2142857142857142</v>
      </c>
      <c r="BI9" s="13">
        <f>IFERROR(AVERAGE(AN9:AY9),"–")</f>
        <v>1.75</v>
      </c>
      <c r="BJ9" s="13">
        <f>IFERROR(AVERAGE(AZ9:BA9),"–")</f>
        <v>2.0</v>
      </c>
      <c r="BK9" s="13">
        <f>IFERROR(AVERAGE(BB9:BF9),"–")</f>
        <v>1.6</v>
      </c>
      <c r="BL9" s="14">
        <f>IFERROR(AVERAGE(I9:BF9),"–")</f>
        <v>1.4</v>
      </c>
      <c r="BM9" s="11">
        <f>COUNTIF(I9:BF9,0)</f>
        <v>6</v>
      </c>
    </row>
    <row r="10" spans="1:65">
      <c r="A10" s="3" t="s">
        <v>71</v>
      </c>
      <c r="B10" t="s">
        <v>85</v>
      </c>
      <c r="C10" t="s">
        <v>86</v>
      </c>
      <c r="D10" s="12">
        <v>653.8</v>
      </c>
      <c r="E10" t="s">
        <v>74</v>
      </c>
      <c r="F10" t="s">
        <v>75</v>
      </c>
      <c r="G10" s="23">
        <v>0.12</v>
      </c>
      <c r="I10" s="24">
        <v>1</v>
      </c>
      <c r="J10" s="24">
        <v>2</v>
      </c>
      <c r="K10" s="24">
        <v>2</v>
      </c>
      <c r="L10" s="24">
        <v>1</v>
      </c>
      <c r="M10" s="24">
        <v>1</v>
      </c>
      <c r="N10" s="24">
        <v>1</v>
      </c>
      <c r="O10" s="24">
        <v>1</v>
      </c>
      <c r="P10" s="24">
        <v>1</v>
      </c>
      <c r="Q10" s="24">
        <v>3</v>
      </c>
      <c r="R10" s="24">
        <v>1</v>
      </c>
      <c r="S10" s="24">
        <v>0</v>
      </c>
      <c r="T10" s="24">
        <v>1</v>
      </c>
      <c r="U10" s="24">
        <v>1</v>
      </c>
      <c r="V10" s="24">
        <v>0</v>
      </c>
      <c r="W10" s="24">
        <v>2</v>
      </c>
      <c r="X10" s="24">
        <v>2</v>
      </c>
      <c r="Y10" s="6" t="s">
        <v>76</v>
      </c>
      <c r="Z10" s="24">
        <v>1</v>
      </c>
      <c r="AA10" s="24">
        <v>0</v>
      </c>
      <c r="AB10" s="24">
        <v>1</v>
      </c>
      <c r="AC10" s="24">
        <v>1</v>
      </c>
      <c r="AD10" s="24">
        <v>1</v>
      </c>
      <c r="AE10" s="24">
        <v>2</v>
      </c>
      <c r="AF10" s="24">
        <v>2</v>
      </c>
      <c r="AG10" s="24">
        <v>1</v>
      </c>
      <c r="AH10" s="24">
        <v>2</v>
      </c>
      <c r="AI10" s="24">
        <v>1</v>
      </c>
      <c r="AJ10" s="24">
        <v>1</v>
      </c>
      <c r="AK10" s="24">
        <v>1</v>
      </c>
      <c r="AL10" s="24">
        <v>3</v>
      </c>
      <c r="AM10" s="24">
        <v>0</v>
      </c>
      <c r="AN10" s="24">
        <v>2</v>
      </c>
      <c r="AO10" s="24">
        <v>2</v>
      </c>
      <c r="AP10" s="6" t="s">
        <v>76</v>
      </c>
      <c r="AQ10" s="24">
        <v>2</v>
      </c>
      <c r="AR10" s="24">
        <v>2</v>
      </c>
      <c r="AS10" s="24">
        <v>1</v>
      </c>
      <c r="AT10" s="24">
        <v>0</v>
      </c>
      <c r="AU10" s="24">
        <v>2</v>
      </c>
      <c r="AV10" s="6" t="s">
        <v>76</v>
      </c>
      <c r="AW10" s="6" t="s">
        <v>76</v>
      </c>
      <c r="AX10" s="24">
        <v>3</v>
      </c>
      <c r="AY10" s="6" t="s">
        <v>76</v>
      </c>
      <c r="AZ10" s="24">
        <v>3</v>
      </c>
      <c r="BA10" s="24">
        <v>1</v>
      </c>
      <c r="BB10" s="24">
        <v>2</v>
      </c>
      <c r="BC10" s="24">
        <v>2</v>
      </c>
      <c r="BD10" s="24">
        <v>2</v>
      </c>
      <c r="BE10" s="24">
        <v>2</v>
      </c>
      <c r="BF10" s="24">
        <v>0</v>
      </c>
      <c r="BG10" s="13">
        <f>IFERROR(AVERAGE(I10:Y10),"–")</f>
        <v>1.25</v>
      </c>
      <c r="BH10" s="13">
        <f>IFERROR(AVERAGE(Z10:AM10),"–")</f>
        <v>1.2142857142857142</v>
      </c>
      <c r="BI10" s="13">
        <f>IFERROR(AVERAGE(AN10:AY10),"–")</f>
        <v>1.75</v>
      </c>
      <c r="BJ10" s="13">
        <f>IFERROR(AVERAGE(AZ10:BA10),"–")</f>
        <v>2.0</v>
      </c>
      <c r="BK10" s="13">
        <f>IFERROR(AVERAGE(BB10:BF10),"–")</f>
        <v>1.6</v>
      </c>
      <c r="BL10" s="14">
        <f>IFERROR(AVERAGE(I10:BF10),"–")</f>
        <v>1.4</v>
      </c>
      <c r="BM10" s="11">
        <f>COUNTIF(I10:BF10,0)</f>
        <v>6</v>
      </c>
    </row>
    <row r="11" spans="1:65">
      <c r="A11" s="3" t="s">
        <v>71</v>
      </c>
      <c r="B11" t="s">
        <v>87</v>
      </c>
      <c r="C11" t="s">
        <v>88</v>
      </c>
      <c r="D11" s="12">
        <v>318.7</v>
      </c>
      <c r="E11" t="s">
        <v>74</v>
      </c>
      <c r="F11" t="s">
        <v>89</v>
      </c>
      <c r="G11" s="23">
        <v>0.21</v>
      </c>
      <c r="I11" s="24">
        <v>1</v>
      </c>
      <c r="J11" s="24">
        <v>2</v>
      </c>
      <c r="K11" s="24">
        <v>2</v>
      </c>
      <c r="L11" s="24">
        <v>1</v>
      </c>
      <c r="M11" s="24">
        <v>1</v>
      </c>
      <c r="N11" s="24">
        <v>1</v>
      </c>
      <c r="O11" s="24">
        <v>1</v>
      </c>
      <c r="P11" s="24">
        <v>1</v>
      </c>
      <c r="Q11" s="24">
        <v>3</v>
      </c>
      <c r="R11" s="24">
        <v>1</v>
      </c>
      <c r="S11" s="24">
        <v>0</v>
      </c>
      <c r="T11" s="24">
        <v>1</v>
      </c>
      <c r="U11" s="24">
        <v>1</v>
      </c>
      <c r="V11" s="24">
        <v>0</v>
      </c>
      <c r="W11" s="24">
        <v>2</v>
      </c>
      <c r="X11" s="24">
        <v>2</v>
      </c>
      <c r="Y11" s="6" t="s">
        <v>76</v>
      </c>
      <c r="Z11" s="24">
        <v>1</v>
      </c>
      <c r="AA11" s="24">
        <v>0</v>
      </c>
      <c r="AB11" s="24">
        <v>1</v>
      </c>
      <c r="AC11" s="24">
        <v>1</v>
      </c>
      <c r="AD11" s="24">
        <v>1</v>
      </c>
      <c r="AE11" s="24">
        <v>2</v>
      </c>
      <c r="AF11" s="24">
        <v>2</v>
      </c>
      <c r="AG11" s="24">
        <v>1</v>
      </c>
      <c r="AH11" s="24">
        <v>2</v>
      </c>
      <c r="AI11" s="24">
        <v>1</v>
      </c>
      <c r="AJ11" s="24">
        <v>1</v>
      </c>
      <c r="AK11" s="24">
        <v>1</v>
      </c>
      <c r="AL11" s="24">
        <v>3</v>
      </c>
      <c r="AM11" s="24">
        <v>0</v>
      </c>
      <c r="AN11" s="24">
        <v>2</v>
      </c>
      <c r="AO11" s="24">
        <v>2</v>
      </c>
      <c r="AP11" s="6" t="s">
        <v>76</v>
      </c>
      <c r="AQ11" s="24">
        <v>2</v>
      </c>
      <c r="AR11" s="24">
        <v>2</v>
      </c>
      <c r="AS11" s="24">
        <v>1</v>
      </c>
      <c r="AT11" s="24">
        <v>0</v>
      </c>
      <c r="AU11" s="24">
        <v>2</v>
      </c>
      <c r="AV11" s="6" t="s">
        <v>76</v>
      </c>
      <c r="AW11" s="6" t="s">
        <v>76</v>
      </c>
      <c r="AX11" s="24">
        <v>3</v>
      </c>
      <c r="AY11" s="6" t="s">
        <v>76</v>
      </c>
      <c r="AZ11" s="24">
        <v>3</v>
      </c>
      <c r="BA11" s="24">
        <v>1</v>
      </c>
      <c r="BB11" s="24">
        <v>2</v>
      </c>
      <c r="BC11" s="24">
        <v>2</v>
      </c>
      <c r="BD11" s="24">
        <v>2</v>
      </c>
      <c r="BE11" s="24">
        <v>2</v>
      </c>
      <c r="BF11" s="24">
        <v>0</v>
      </c>
      <c r="BG11" s="13">
        <f>IFERROR(AVERAGE(I11:Y11),"–")</f>
        <v>1.25</v>
      </c>
      <c r="BH11" s="13">
        <f>IFERROR(AVERAGE(Z11:AM11),"–")</f>
        <v>1.2142857142857142</v>
      </c>
      <c r="BI11" s="13">
        <f>IFERROR(AVERAGE(AN11:AY11),"–")</f>
        <v>1.75</v>
      </c>
      <c r="BJ11" s="13">
        <f>IFERROR(AVERAGE(AZ11:BA11),"–")</f>
        <v>2.0</v>
      </c>
      <c r="BK11" s="13">
        <f>IFERROR(AVERAGE(BB11:BF11),"–")</f>
        <v>1.6</v>
      </c>
      <c r="BL11" s="14">
        <f>IFERROR(AVERAGE(I11:BF11),"–")</f>
        <v>1.4</v>
      </c>
      <c r="BM11" s="11">
        <f>COUNTIF(I11:BF11,0)</f>
        <v>6</v>
      </c>
    </row>
    <row r="12" spans="1:65">
      <c r="A12" s="3" t="s">
        <v>71</v>
      </c>
      <c r="B12" t="s">
        <v>90</v>
      </c>
      <c r="C12" t="s">
        <v>91</v>
      </c>
      <c r="D12" s="12">
        <v>186.2</v>
      </c>
      <c r="E12" t="s">
        <v>74</v>
      </c>
      <c r="F12" t="s">
        <v>75</v>
      </c>
      <c r="G12" s="23">
        <v>0.12</v>
      </c>
      <c r="I12" s="24">
        <v>1</v>
      </c>
      <c r="J12" s="24">
        <v>2</v>
      </c>
      <c r="K12" s="24">
        <v>2</v>
      </c>
      <c r="L12" s="24">
        <v>1</v>
      </c>
      <c r="M12" s="24">
        <v>1</v>
      </c>
      <c r="N12" s="24">
        <v>1</v>
      </c>
      <c r="O12" s="24">
        <v>1</v>
      </c>
      <c r="P12" s="24">
        <v>1</v>
      </c>
      <c r="Q12" s="24">
        <v>3</v>
      </c>
      <c r="R12" s="24">
        <v>1</v>
      </c>
      <c r="S12" s="24">
        <v>0</v>
      </c>
      <c r="T12" s="24">
        <v>1</v>
      </c>
      <c r="U12" s="24">
        <v>1</v>
      </c>
      <c r="V12" s="24">
        <v>0</v>
      </c>
      <c r="W12" s="24">
        <v>2</v>
      </c>
      <c r="X12" s="24">
        <v>2</v>
      </c>
      <c r="Y12" s="6" t="s">
        <v>76</v>
      </c>
      <c r="Z12" s="24">
        <v>1</v>
      </c>
      <c r="AA12" s="24">
        <v>0</v>
      </c>
      <c r="AB12" s="24">
        <v>1</v>
      </c>
      <c r="AC12" s="24">
        <v>1</v>
      </c>
      <c r="AD12" s="24">
        <v>1</v>
      </c>
      <c r="AE12" s="24">
        <v>2</v>
      </c>
      <c r="AF12" s="24">
        <v>2</v>
      </c>
      <c r="AG12" s="24">
        <v>1</v>
      </c>
      <c r="AH12" s="24">
        <v>2</v>
      </c>
      <c r="AI12" s="24">
        <v>1</v>
      </c>
      <c r="AJ12" s="24">
        <v>1</v>
      </c>
      <c r="AK12" s="24">
        <v>1</v>
      </c>
      <c r="AL12" s="24">
        <v>3</v>
      </c>
      <c r="AM12" s="24">
        <v>0</v>
      </c>
      <c r="AN12" s="24">
        <v>2</v>
      </c>
      <c r="AO12" s="24">
        <v>2</v>
      </c>
      <c r="AP12" s="6" t="s">
        <v>76</v>
      </c>
      <c r="AQ12" s="24">
        <v>2</v>
      </c>
      <c r="AR12" s="24">
        <v>2</v>
      </c>
      <c r="AS12" s="24">
        <v>1</v>
      </c>
      <c r="AT12" s="24">
        <v>0</v>
      </c>
      <c r="AU12" s="24">
        <v>2</v>
      </c>
      <c r="AV12" s="6" t="s">
        <v>76</v>
      </c>
      <c r="AW12" s="6" t="s">
        <v>76</v>
      </c>
      <c r="AX12" s="24">
        <v>3</v>
      </c>
      <c r="AY12" s="6" t="s">
        <v>76</v>
      </c>
      <c r="AZ12" s="24">
        <v>3</v>
      </c>
      <c r="BA12" s="24">
        <v>1</v>
      </c>
      <c r="BB12" s="24">
        <v>2</v>
      </c>
      <c r="BC12" s="24">
        <v>2</v>
      </c>
      <c r="BD12" s="24">
        <v>2</v>
      </c>
      <c r="BE12" s="24">
        <v>2</v>
      </c>
      <c r="BF12" s="24">
        <v>0</v>
      </c>
      <c r="BG12" s="13">
        <f>IFERROR(AVERAGE(I12:Y12),"–")</f>
        <v>1.25</v>
      </c>
      <c r="BH12" s="13">
        <f>IFERROR(AVERAGE(Z12:AM12),"–")</f>
        <v>1.2142857142857142</v>
      </c>
      <c r="BI12" s="13">
        <f>IFERROR(AVERAGE(AN12:AY12),"–")</f>
        <v>1.75</v>
      </c>
      <c r="BJ12" s="13">
        <f>IFERROR(AVERAGE(AZ12:BA12),"–")</f>
        <v>2.0</v>
      </c>
      <c r="BK12" s="13">
        <f>IFERROR(AVERAGE(BB12:BF12),"–")</f>
        <v>1.6</v>
      </c>
      <c r="BL12" s="14">
        <f>IFERROR(AVERAGE(I12:BF12),"–")</f>
        <v>1.4</v>
      </c>
      <c r="BM12" s="11">
        <f>COUNTIF(I12:BF12,0)</f>
        <v>6</v>
      </c>
    </row>
    <row r="13" spans="1:65">
      <c r="A13" s="3" t="s">
        <v>71</v>
      </c>
      <c r="B13" t="s">
        <v>92</v>
      </c>
      <c r="C13" t="s">
        <v>93</v>
      </c>
      <c r="D13" s="12">
        <v>12.3</v>
      </c>
      <c r="E13" t="s">
        <v>74</v>
      </c>
      <c r="F13" t="s">
        <v>75</v>
      </c>
      <c r="G13" s="23">
        <v>0.12</v>
      </c>
      <c r="I13" s="24">
        <v>1</v>
      </c>
      <c r="J13" s="24">
        <v>2</v>
      </c>
      <c r="K13" s="24">
        <v>2</v>
      </c>
      <c r="L13" s="24">
        <v>1</v>
      </c>
      <c r="M13" s="24">
        <v>1</v>
      </c>
      <c r="N13" s="24">
        <v>1</v>
      </c>
      <c r="O13" s="24">
        <v>1</v>
      </c>
      <c r="P13" s="24">
        <v>1</v>
      </c>
      <c r="Q13" s="24">
        <v>3</v>
      </c>
      <c r="R13" s="24">
        <v>1</v>
      </c>
      <c r="S13" s="24">
        <v>0</v>
      </c>
      <c r="T13" s="24">
        <v>1</v>
      </c>
      <c r="U13" s="24">
        <v>1</v>
      </c>
      <c r="V13" s="24">
        <v>0</v>
      </c>
      <c r="W13" s="24">
        <v>2</v>
      </c>
      <c r="X13" s="24">
        <v>2</v>
      </c>
      <c r="Y13" s="6" t="s">
        <v>76</v>
      </c>
      <c r="Z13" s="24">
        <v>1</v>
      </c>
      <c r="AA13" s="24">
        <v>0</v>
      </c>
      <c r="AB13" s="24">
        <v>1</v>
      </c>
      <c r="AC13" s="24">
        <v>1</v>
      </c>
      <c r="AD13" s="24">
        <v>1</v>
      </c>
      <c r="AE13" s="24">
        <v>2</v>
      </c>
      <c r="AF13" s="24">
        <v>2</v>
      </c>
      <c r="AG13" s="24">
        <v>1</v>
      </c>
      <c r="AH13" s="24">
        <v>2</v>
      </c>
      <c r="AI13" s="24">
        <v>1</v>
      </c>
      <c r="AJ13" s="24">
        <v>1</v>
      </c>
      <c r="AK13" s="24">
        <v>1</v>
      </c>
      <c r="AL13" s="24">
        <v>3</v>
      </c>
      <c r="AM13" s="24">
        <v>0</v>
      </c>
      <c r="AN13" s="24">
        <v>2</v>
      </c>
      <c r="AO13" s="24">
        <v>2</v>
      </c>
      <c r="AP13" s="6" t="s">
        <v>76</v>
      </c>
      <c r="AQ13" s="24">
        <v>2</v>
      </c>
      <c r="AR13" s="24">
        <v>2</v>
      </c>
      <c r="AS13" s="24">
        <v>1</v>
      </c>
      <c r="AT13" s="24">
        <v>0</v>
      </c>
      <c r="AU13" s="24">
        <v>2</v>
      </c>
      <c r="AV13" s="6" t="s">
        <v>76</v>
      </c>
      <c r="AW13" s="6" t="s">
        <v>76</v>
      </c>
      <c r="AX13" s="24">
        <v>3</v>
      </c>
      <c r="AY13" s="6" t="s">
        <v>76</v>
      </c>
      <c r="AZ13" s="24">
        <v>3</v>
      </c>
      <c r="BA13" s="24">
        <v>1</v>
      </c>
      <c r="BB13" s="24">
        <v>2</v>
      </c>
      <c r="BC13" s="24">
        <v>2</v>
      </c>
      <c r="BD13" s="24">
        <v>2</v>
      </c>
      <c r="BE13" s="24">
        <v>2</v>
      </c>
      <c r="BF13" s="24">
        <v>0</v>
      </c>
      <c r="BG13" s="13">
        <f>IFERROR(AVERAGE(I13:Y13),"–")</f>
        <v>1.25</v>
      </c>
      <c r="BH13" s="13">
        <f>IFERROR(AVERAGE(Z13:AM13),"–")</f>
        <v>1.2142857142857142</v>
      </c>
      <c r="BI13" s="13">
        <f>IFERROR(AVERAGE(AN13:AY13),"–")</f>
        <v>1.75</v>
      </c>
      <c r="BJ13" s="13">
        <f>IFERROR(AVERAGE(AZ13:BA13),"–")</f>
        <v>2.0</v>
      </c>
      <c r="BK13" s="13">
        <f>IFERROR(AVERAGE(BB13:BF13),"–")</f>
        <v>1.6</v>
      </c>
      <c r="BL13" s="14">
        <f>IFERROR(AVERAGE(I13:BF13),"–")</f>
        <v>1.4</v>
      </c>
      <c r="BM13" s="11">
        <f>COUNTIF(I13:BF13,0)</f>
        <v>6</v>
      </c>
    </row>
    <row r="14" spans="1:65">
      <c r="A14" s="3" t="s">
        <v>71</v>
      </c>
      <c r="B14" t="s">
        <v>94</v>
      </c>
      <c r="C14" t="s">
        <v>95</v>
      </c>
      <c r="D14" s="12">
        <v>2.1</v>
      </c>
      <c r="E14" t="s">
        <v>74</v>
      </c>
      <c r="F14" t="s">
        <v>75</v>
      </c>
      <c r="G14" s="23">
        <v>0.12</v>
      </c>
      <c r="I14" s="24">
        <v>1</v>
      </c>
      <c r="J14" s="24">
        <v>2</v>
      </c>
      <c r="K14" s="24">
        <v>2</v>
      </c>
      <c r="L14" s="24">
        <v>1</v>
      </c>
      <c r="M14" s="24">
        <v>1</v>
      </c>
      <c r="N14" s="24">
        <v>1</v>
      </c>
      <c r="O14" s="24">
        <v>1</v>
      </c>
      <c r="P14" s="24">
        <v>1</v>
      </c>
      <c r="Q14" s="24">
        <v>3</v>
      </c>
      <c r="R14" s="24">
        <v>1</v>
      </c>
      <c r="S14" s="24">
        <v>0</v>
      </c>
      <c r="T14" s="24">
        <v>1</v>
      </c>
      <c r="U14" s="24">
        <v>1</v>
      </c>
      <c r="V14" s="24">
        <v>0</v>
      </c>
      <c r="W14" s="24">
        <v>2</v>
      </c>
      <c r="X14" s="24">
        <v>2</v>
      </c>
      <c r="Y14" s="6" t="s">
        <v>76</v>
      </c>
      <c r="Z14" s="24">
        <v>1</v>
      </c>
      <c r="AA14" s="24">
        <v>0</v>
      </c>
      <c r="AB14" s="24">
        <v>1</v>
      </c>
      <c r="AC14" s="24">
        <v>1</v>
      </c>
      <c r="AD14" s="24">
        <v>1</v>
      </c>
      <c r="AE14" s="24">
        <v>2</v>
      </c>
      <c r="AF14" s="24">
        <v>2</v>
      </c>
      <c r="AG14" s="24">
        <v>1</v>
      </c>
      <c r="AH14" s="24">
        <v>2</v>
      </c>
      <c r="AI14" s="24">
        <v>1</v>
      </c>
      <c r="AJ14" s="24">
        <v>1</v>
      </c>
      <c r="AK14" s="24">
        <v>1</v>
      </c>
      <c r="AL14" s="24">
        <v>3</v>
      </c>
      <c r="AM14" s="24">
        <v>0</v>
      </c>
      <c r="AN14" s="24">
        <v>2</v>
      </c>
      <c r="AO14" s="24">
        <v>2</v>
      </c>
      <c r="AP14" s="6" t="s">
        <v>76</v>
      </c>
      <c r="AQ14" s="24">
        <v>2</v>
      </c>
      <c r="AR14" s="24">
        <v>2</v>
      </c>
      <c r="AS14" s="24">
        <v>1</v>
      </c>
      <c r="AT14" s="24">
        <v>0</v>
      </c>
      <c r="AU14" s="24">
        <v>2</v>
      </c>
      <c r="AV14" s="6" t="s">
        <v>76</v>
      </c>
      <c r="AW14" s="6" t="s">
        <v>76</v>
      </c>
      <c r="AX14" s="24">
        <v>3</v>
      </c>
      <c r="AY14" s="6" t="s">
        <v>76</v>
      </c>
      <c r="AZ14" s="24">
        <v>3</v>
      </c>
      <c r="BA14" s="24">
        <v>1</v>
      </c>
      <c r="BB14" s="24">
        <v>2</v>
      </c>
      <c r="BC14" s="24">
        <v>2</v>
      </c>
      <c r="BD14" s="24">
        <v>2</v>
      </c>
      <c r="BE14" s="24">
        <v>2</v>
      </c>
      <c r="BF14" s="24">
        <v>0</v>
      </c>
      <c r="BG14" s="13">
        <f>IFERROR(AVERAGE(I14:Y14),"–")</f>
        <v>1.25</v>
      </c>
      <c r="BH14" s="13">
        <f>IFERROR(AVERAGE(Z14:AM14),"–")</f>
        <v>1.2142857142857142</v>
      </c>
      <c r="BI14" s="13">
        <f>IFERROR(AVERAGE(AN14:AY14),"–")</f>
        <v>1.75</v>
      </c>
      <c r="BJ14" s="13">
        <f>IFERROR(AVERAGE(AZ14:BA14),"–")</f>
        <v>2.0</v>
      </c>
      <c r="BK14" s="13">
        <f>IFERROR(AVERAGE(BB14:BF14),"–")</f>
        <v>1.6</v>
      </c>
      <c r="BL14" s="14">
        <f>IFERROR(AVERAGE(I14:BF14),"–")</f>
        <v>1.4</v>
      </c>
      <c r="BM14" s="11">
        <f>COUNTIF(I14:BF14,0)</f>
        <v>6</v>
      </c>
    </row>
    <row r="15" spans="1:65">
      <c r="A15" s="3" t="s">
        <v>71</v>
      </c>
      <c r="B15" t="s">
        <v>96</v>
      </c>
      <c r="C15" t="s">
        <v>97</v>
      </c>
      <c r="D15" s="12">
        <v>0</v>
      </c>
      <c r="E15" t="s">
        <v>74</v>
      </c>
      <c r="F15" t="s">
        <v>98</v>
      </c>
      <c r="G15" s="23">
        <v>0.14</v>
      </c>
      <c r="I15" s="24">
        <v>1</v>
      </c>
      <c r="J15" s="24">
        <v>2</v>
      </c>
      <c r="K15" s="24">
        <v>2</v>
      </c>
      <c r="L15" s="24">
        <v>1</v>
      </c>
      <c r="M15" s="24">
        <v>1</v>
      </c>
      <c r="N15" s="24">
        <v>1</v>
      </c>
      <c r="O15" s="24">
        <v>1</v>
      </c>
      <c r="P15" s="24">
        <v>1</v>
      </c>
      <c r="Q15" s="24">
        <v>3</v>
      </c>
      <c r="R15" s="24">
        <v>1</v>
      </c>
      <c r="S15" s="24">
        <v>0</v>
      </c>
      <c r="T15" s="24">
        <v>1</v>
      </c>
      <c r="U15" s="24">
        <v>1</v>
      </c>
      <c r="V15" s="24">
        <v>0</v>
      </c>
      <c r="W15" s="24">
        <v>2</v>
      </c>
      <c r="X15" s="24">
        <v>2</v>
      </c>
      <c r="Y15" s="6" t="s">
        <v>76</v>
      </c>
      <c r="Z15" s="24">
        <v>1</v>
      </c>
      <c r="AA15" s="24">
        <v>0</v>
      </c>
      <c r="AB15" s="24">
        <v>1</v>
      </c>
      <c r="AC15" s="24">
        <v>1</v>
      </c>
      <c r="AD15" s="24">
        <v>1</v>
      </c>
      <c r="AE15" s="24">
        <v>2</v>
      </c>
      <c r="AF15" s="24">
        <v>2</v>
      </c>
      <c r="AG15" s="24">
        <v>1</v>
      </c>
      <c r="AH15" s="24">
        <v>2</v>
      </c>
      <c r="AI15" s="24">
        <v>1</v>
      </c>
      <c r="AJ15" s="24">
        <v>1</v>
      </c>
      <c r="AK15" s="24">
        <v>1</v>
      </c>
      <c r="AL15" s="24">
        <v>3</v>
      </c>
      <c r="AM15" s="24">
        <v>0</v>
      </c>
      <c r="AN15" s="24">
        <v>2</v>
      </c>
      <c r="AO15" s="24">
        <v>2</v>
      </c>
      <c r="AP15" s="6" t="s">
        <v>76</v>
      </c>
      <c r="AQ15" s="24">
        <v>2</v>
      </c>
      <c r="AR15" s="24">
        <v>2</v>
      </c>
      <c r="AS15" s="24">
        <v>1</v>
      </c>
      <c r="AT15" s="24">
        <v>0</v>
      </c>
      <c r="AU15" s="24">
        <v>2</v>
      </c>
      <c r="AV15" s="6" t="s">
        <v>76</v>
      </c>
      <c r="AW15" s="6" t="s">
        <v>76</v>
      </c>
      <c r="AX15" s="24">
        <v>3</v>
      </c>
      <c r="AY15" s="6" t="s">
        <v>76</v>
      </c>
      <c r="AZ15" s="24">
        <v>3</v>
      </c>
      <c r="BA15" s="24">
        <v>1</v>
      </c>
      <c r="BB15" s="24">
        <v>1</v>
      </c>
      <c r="BC15" s="24">
        <v>2</v>
      </c>
      <c r="BD15" s="24">
        <v>2</v>
      </c>
      <c r="BE15" s="24">
        <v>2</v>
      </c>
      <c r="BF15" s="24">
        <v>0</v>
      </c>
      <c r="BG15" s="13">
        <f>IFERROR(AVERAGE(I15:Y15),"–")</f>
        <v>1.25</v>
      </c>
      <c r="BH15" s="13">
        <f>IFERROR(AVERAGE(Z15:AM15),"–")</f>
        <v>1.2142857142857142</v>
      </c>
      <c r="BI15" s="13">
        <f>IFERROR(AVERAGE(AN15:AY15),"–")</f>
        <v>1.75</v>
      </c>
      <c r="BJ15" s="13">
        <f>IFERROR(AVERAGE(AZ15:BA15),"–")</f>
        <v>2.0</v>
      </c>
      <c r="BK15" s="13">
        <f>IFERROR(AVERAGE(BB15:BF15),"–")</f>
        <v>1.4</v>
      </c>
      <c r="BL15" s="14">
        <f>IFERROR(AVERAGE(I15:BF15),"–")</f>
        <v>1.3777777777777778</v>
      </c>
      <c r="BM15" s="11">
        <f>COUNTIF(I15:BF15,0)</f>
        <v>6</v>
      </c>
    </row>
    <row r="16" spans="1:65">
      <c r="A16" s="3" t="s">
        <v>71</v>
      </c>
      <c r="B16" t="s">
        <v>99</v>
      </c>
      <c r="C16" t="s">
        <v>100</v>
      </c>
      <c r="D16" s="12">
        <v>0</v>
      </c>
      <c r="E16" t="s">
        <v>74</v>
      </c>
      <c r="F16" t="s">
        <v>98</v>
      </c>
      <c r="G16" s="23">
        <v>0.14</v>
      </c>
      <c r="I16" s="24">
        <v>1</v>
      </c>
      <c r="J16" s="24">
        <v>2</v>
      </c>
      <c r="K16" s="24">
        <v>2</v>
      </c>
      <c r="L16" s="24">
        <v>1</v>
      </c>
      <c r="M16" s="24">
        <v>1</v>
      </c>
      <c r="N16" s="24">
        <v>1</v>
      </c>
      <c r="O16" s="24">
        <v>1</v>
      </c>
      <c r="P16" s="24">
        <v>1</v>
      </c>
      <c r="Q16" s="24">
        <v>3</v>
      </c>
      <c r="R16" s="24">
        <v>1</v>
      </c>
      <c r="S16" s="24">
        <v>0</v>
      </c>
      <c r="T16" s="24">
        <v>1</v>
      </c>
      <c r="U16" s="24">
        <v>1</v>
      </c>
      <c r="V16" s="24">
        <v>0</v>
      </c>
      <c r="W16" s="24">
        <v>2</v>
      </c>
      <c r="X16" s="24">
        <v>2</v>
      </c>
      <c r="Y16" s="6" t="s">
        <v>76</v>
      </c>
      <c r="Z16" s="24">
        <v>1</v>
      </c>
      <c r="AA16" s="24">
        <v>0</v>
      </c>
      <c r="AB16" s="24">
        <v>1</v>
      </c>
      <c r="AC16" s="24">
        <v>1</v>
      </c>
      <c r="AD16" s="24">
        <v>1</v>
      </c>
      <c r="AE16" s="24">
        <v>2</v>
      </c>
      <c r="AF16" s="24">
        <v>2</v>
      </c>
      <c r="AG16" s="24">
        <v>1</v>
      </c>
      <c r="AH16" s="24">
        <v>2</v>
      </c>
      <c r="AI16" s="24">
        <v>1</v>
      </c>
      <c r="AJ16" s="24">
        <v>1</v>
      </c>
      <c r="AK16" s="24">
        <v>1</v>
      </c>
      <c r="AL16" s="24">
        <v>3</v>
      </c>
      <c r="AM16" s="24">
        <v>0</v>
      </c>
      <c r="AN16" s="24">
        <v>2</v>
      </c>
      <c r="AO16" s="24">
        <v>2</v>
      </c>
      <c r="AP16" s="6" t="s">
        <v>76</v>
      </c>
      <c r="AQ16" s="24">
        <v>2</v>
      </c>
      <c r="AR16" s="24">
        <v>2</v>
      </c>
      <c r="AS16" s="24">
        <v>1</v>
      </c>
      <c r="AT16" s="24">
        <v>0</v>
      </c>
      <c r="AU16" s="24">
        <v>2</v>
      </c>
      <c r="AV16" s="6" t="s">
        <v>76</v>
      </c>
      <c r="AW16" s="6" t="s">
        <v>76</v>
      </c>
      <c r="AX16" s="24">
        <v>3</v>
      </c>
      <c r="AY16" s="6" t="s">
        <v>76</v>
      </c>
      <c r="AZ16" s="24">
        <v>3</v>
      </c>
      <c r="BA16" s="24">
        <v>1</v>
      </c>
      <c r="BB16" s="24">
        <v>1</v>
      </c>
      <c r="BC16" s="24">
        <v>2</v>
      </c>
      <c r="BD16" s="24">
        <v>2</v>
      </c>
      <c r="BE16" s="24">
        <v>2</v>
      </c>
      <c r="BF16" s="24">
        <v>0</v>
      </c>
      <c r="BG16" s="13">
        <f>IFERROR(AVERAGE(I16:Y16),"–")</f>
        <v>1.25</v>
      </c>
      <c r="BH16" s="13">
        <f>IFERROR(AVERAGE(Z16:AM16),"–")</f>
        <v>1.2142857142857142</v>
      </c>
      <c r="BI16" s="13">
        <f>IFERROR(AVERAGE(AN16:AY16),"–")</f>
        <v>1.75</v>
      </c>
      <c r="BJ16" s="13">
        <f>IFERROR(AVERAGE(AZ16:BA16),"–")</f>
        <v>2.0</v>
      </c>
      <c r="BK16" s="13">
        <f>IFERROR(AVERAGE(BB16:BF16),"–")</f>
        <v>1.4</v>
      </c>
      <c r="BL16" s="14">
        <f>IFERROR(AVERAGE(I16:BF16),"–")</f>
        <v>1.3777777777777778</v>
      </c>
      <c r="BM16" s="11">
        <f>COUNTIF(I16:BF16,0)</f>
        <v>6</v>
      </c>
    </row>
    <row r="17" spans="1:65">
      <c r="A17" s="3" t="s">
        <v>71</v>
      </c>
      <c r="B17" t="s">
        <v>101</v>
      </c>
      <c r="C17" t="s">
        <v>102</v>
      </c>
      <c r="D17" s="12">
        <v>0</v>
      </c>
      <c r="E17" t="s">
        <v>74</v>
      </c>
      <c r="F17" t="s">
        <v>98</v>
      </c>
      <c r="G17" s="23">
        <v>0.14</v>
      </c>
      <c r="H17" t="s">
        <v>103</v>
      </c>
      <c r="I17" s="24">
        <v>1</v>
      </c>
      <c r="J17" s="24">
        <v>2</v>
      </c>
      <c r="K17" s="24">
        <v>2</v>
      </c>
      <c r="L17" s="24">
        <v>1</v>
      </c>
      <c r="M17" s="24">
        <v>1</v>
      </c>
      <c r="N17" s="24">
        <v>1</v>
      </c>
      <c r="O17" s="24">
        <v>1</v>
      </c>
      <c r="P17" s="24">
        <v>1</v>
      </c>
      <c r="Q17" s="24">
        <v>3</v>
      </c>
      <c r="R17" s="24">
        <v>1</v>
      </c>
      <c r="S17" s="24">
        <v>0</v>
      </c>
      <c r="T17" s="24">
        <v>1</v>
      </c>
      <c r="U17" s="24">
        <v>1</v>
      </c>
      <c r="V17" s="24">
        <v>0</v>
      </c>
      <c r="W17" s="24">
        <v>2</v>
      </c>
      <c r="X17" s="24">
        <v>2</v>
      </c>
      <c r="Y17" s="6" t="s">
        <v>76</v>
      </c>
      <c r="Z17" s="24">
        <v>1</v>
      </c>
      <c r="AA17" s="24">
        <v>0</v>
      </c>
      <c r="AB17" s="24">
        <v>1</v>
      </c>
      <c r="AC17" s="24">
        <v>1</v>
      </c>
      <c r="AD17" s="24">
        <v>1</v>
      </c>
      <c r="AE17" s="24">
        <v>2</v>
      </c>
      <c r="AF17" s="24">
        <v>2</v>
      </c>
      <c r="AG17" s="24">
        <v>1</v>
      </c>
      <c r="AH17" s="24">
        <v>2</v>
      </c>
      <c r="AI17" s="24">
        <v>1</v>
      </c>
      <c r="AJ17" s="24">
        <v>1</v>
      </c>
      <c r="AK17" s="24">
        <v>1</v>
      </c>
      <c r="AL17" s="24">
        <v>3</v>
      </c>
      <c r="AM17" s="24">
        <v>0</v>
      </c>
      <c r="AN17" s="24">
        <v>2</v>
      </c>
      <c r="AO17" s="24">
        <v>2</v>
      </c>
      <c r="AP17" s="6" t="s">
        <v>76</v>
      </c>
      <c r="AQ17" s="24">
        <v>2</v>
      </c>
      <c r="AR17" s="24">
        <v>2</v>
      </c>
      <c r="AS17" s="24">
        <v>1</v>
      </c>
      <c r="AT17" s="24">
        <v>0</v>
      </c>
      <c r="AU17" s="24">
        <v>2</v>
      </c>
      <c r="AV17" s="6" t="s">
        <v>76</v>
      </c>
      <c r="AW17" s="6" t="s">
        <v>76</v>
      </c>
      <c r="AX17" s="24">
        <v>3</v>
      </c>
      <c r="AY17" s="6" t="s">
        <v>76</v>
      </c>
      <c r="AZ17" s="24">
        <v>3</v>
      </c>
      <c r="BA17" s="24">
        <v>1</v>
      </c>
      <c r="BB17" s="24">
        <v>1</v>
      </c>
      <c r="BC17" s="24">
        <v>2</v>
      </c>
      <c r="BD17" s="24">
        <v>2</v>
      </c>
      <c r="BE17" s="24">
        <v>2</v>
      </c>
      <c r="BF17" s="24">
        <v>0</v>
      </c>
      <c r="BG17" s="13">
        <f>IFERROR(AVERAGE(I17:Y17),"–")</f>
        <v>1.25</v>
      </c>
      <c r="BH17" s="13">
        <f>IFERROR(AVERAGE(Z17:AM17),"–")</f>
        <v>1.2142857142857142</v>
      </c>
      <c r="BI17" s="13">
        <f>IFERROR(AVERAGE(AN17:AY17),"–")</f>
        <v>1.75</v>
      </c>
      <c r="BJ17" s="13">
        <f>IFERROR(AVERAGE(AZ17:BA17),"–")</f>
        <v>2.0</v>
      </c>
      <c r="BK17" s="13">
        <f>IFERROR(AVERAGE(BB17:BF17),"–")</f>
        <v>1.4</v>
      </c>
      <c r="BL17" s="14">
        <f>IFERROR(AVERAGE(I17:BF17),"–")</f>
        <v>1.3777777777777778</v>
      </c>
      <c r="BM17" s="11">
        <f>COUNTIF(I17:BF17,0)</f>
        <v>6</v>
      </c>
    </row>
    <row r="18" spans="1:65">
      <c r="A18" s="3" t="s">
        <v>71</v>
      </c>
      <c r="B18" t="s">
        <v>104</v>
      </c>
      <c r="C18" t="s">
        <v>105</v>
      </c>
      <c r="D18" s="12">
        <v>0</v>
      </c>
      <c r="E18" t="s">
        <v>74</v>
      </c>
      <c r="F18" t="s">
        <v>98</v>
      </c>
      <c r="G18" s="23">
        <v>0.14</v>
      </c>
      <c r="H18" t="s">
        <v>103</v>
      </c>
      <c r="I18" s="24">
        <v>1</v>
      </c>
      <c r="J18" s="24">
        <v>2</v>
      </c>
      <c r="K18" s="24">
        <v>2</v>
      </c>
      <c r="L18" s="24">
        <v>1</v>
      </c>
      <c r="M18" s="24">
        <v>1</v>
      </c>
      <c r="N18" s="24">
        <v>1</v>
      </c>
      <c r="O18" s="24">
        <v>1</v>
      </c>
      <c r="P18" s="24">
        <v>1</v>
      </c>
      <c r="Q18" s="24">
        <v>3</v>
      </c>
      <c r="R18" s="24">
        <v>1</v>
      </c>
      <c r="S18" s="24">
        <v>0</v>
      </c>
      <c r="T18" s="24">
        <v>1</v>
      </c>
      <c r="U18" s="24">
        <v>1</v>
      </c>
      <c r="V18" s="24">
        <v>0</v>
      </c>
      <c r="W18" s="24">
        <v>2</v>
      </c>
      <c r="X18" s="24">
        <v>2</v>
      </c>
      <c r="Y18" s="6" t="s">
        <v>76</v>
      </c>
      <c r="Z18" s="24">
        <v>1</v>
      </c>
      <c r="AA18" s="24">
        <v>0</v>
      </c>
      <c r="AB18" s="24">
        <v>1</v>
      </c>
      <c r="AC18" s="24">
        <v>1</v>
      </c>
      <c r="AD18" s="24">
        <v>1</v>
      </c>
      <c r="AE18" s="24">
        <v>2</v>
      </c>
      <c r="AF18" s="24">
        <v>2</v>
      </c>
      <c r="AG18" s="24">
        <v>1</v>
      </c>
      <c r="AH18" s="24">
        <v>2</v>
      </c>
      <c r="AI18" s="24">
        <v>1</v>
      </c>
      <c r="AJ18" s="24">
        <v>1</v>
      </c>
      <c r="AK18" s="24">
        <v>1</v>
      </c>
      <c r="AL18" s="24">
        <v>3</v>
      </c>
      <c r="AM18" s="24">
        <v>0</v>
      </c>
      <c r="AN18" s="24">
        <v>2</v>
      </c>
      <c r="AO18" s="24">
        <v>2</v>
      </c>
      <c r="AP18" s="6" t="s">
        <v>76</v>
      </c>
      <c r="AQ18" s="24">
        <v>2</v>
      </c>
      <c r="AR18" s="24">
        <v>2</v>
      </c>
      <c r="AS18" s="24">
        <v>1</v>
      </c>
      <c r="AT18" s="24">
        <v>0</v>
      </c>
      <c r="AU18" s="24">
        <v>2</v>
      </c>
      <c r="AV18" s="6" t="s">
        <v>76</v>
      </c>
      <c r="AW18" s="6" t="s">
        <v>76</v>
      </c>
      <c r="AX18" s="24">
        <v>3</v>
      </c>
      <c r="AY18" s="6" t="s">
        <v>76</v>
      </c>
      <c r="AZ18" s="24">
        <v>3</v>
      </c>
      <c r="BA18" s="24">
        <v>1</v>
      </c>
      <c r="BB18" s="24">
        <v>1</v>
      </c>
      <c r="BC18" s="24">
        <v>2</v>
      </c>
      <c r="BD18" s="24">
        <v>2</v>
      </c>
      <c r="BE18" s="24">
        <v>2</v>
      </c>
      <c r="BF18" s="24">
        <v>0</v>
      </c>
      <c r="BG18" s="13">
        <f>IFERROR(AVERAGE(I18:Y18),"–")</f>
        <v>1.25</v>
      </c>
      <c r="BH18" s="13">
        <f>IFERROR(AVERAGE(Z18:AM18),"–")</f>
        <v>1.2142857142857142</v>
      </c>
      <c r="BI18" s="13">
        <f>IFERROR(AVERAGE(AN18:AY18),"–")</f>
        <v>1.75</v>
      </c>
      <c r="BJ18" s="13">
        <f>IFERROR(AVERAGE(AZ18:BA18),"–")</f>
        <v>2.0</v>
      </c>
      <c r="BK18" s="13">
        <f>IFERROR(AVERAGE(BB18:BF18),"–")</f>
        <v>1.4</v>
      </c>
      <c r="BL18" s="14">
        <f>IFERROR(AVERAGE(I18:BF18),"–")</f>
        <v>1.3777777777777778</v>
      </c>
      <c r="BM18" s="11">
        <f>COUNTIF(I18:BF18,0)</f>
        <v>6</v>
      </c>
    </row>
    <row r="19" spans="1:65">
      <c r="A19" s="3" t="s">
        <v>71</v>
      </c>
      <c r="B19" t="s">
        <v>106</v>
      </c>
      <c r="C19" t="s">
        <v>107</v>
      </c>
      <c r="D19" s="12">
        <v>0</v>
      </c>
      <c r="E19" t="s">
        <v>74</v>
      </c>
      <c r="F19" t="s">
        <v>98</v>
      </c>
      <c r="G19" s="23">
        <v>0.14</v>
      </c>
      <c r="I19" s="24">
        <v>1</v>
      </c>
      <c r="J19" s="24">
        <v>2</v>
      </c>
      <c r="K19" s="24">
        <v>2</v>
      </c>
      <c r="L19" s="24">
        <v>1</v>
      </c>
      <c r="M19" s="24">
        <v>1</v>
      </c>
      <c r="N19" s="24">
        <v>1</v>
      </c>
      <c r="O19" s="24">
        <v>1</v>
      </c>
      <c r="P19" s="24">
        <v>1</v>
      </c>
      <c r="Q19" s="24">
        <v>3</v>
      </c>
      <c r="R19" s="24">
        <v>1</v>
      </c>
      <c r="S19" s="24">
        <v>0</v>
      </c>
      <c r="T19" s="24">
        <v>1</v>
      </c>
      <c r="U19" s="24">
        <v>1</v>
      </c>
      <c r="V19" s="24">
        <v>0</v>
      </c>
      <c r="W19" s="24">
        <v>2</v>
      </c>
      <c r="X19" s="24">
        <v>2</v>
      </c>
      <c r="Y19" s="6" t="s">
        <v>76</v>
      </c>
      <c r="Z19" s="24">
        <v>1</v>
      </c>
      <c r="AA19" s="24">
        <v>0</v>
      </c>
      <c r="AB19" s="24">
        <v>1</v>
      </c>
      <c r="AC19" s="24">
        <v>1</v>
      </c>
      <c r="AD19" s="24">
        <v>1</v>
      </c>
      <c r="AE19" s="24">
        <v>2</v>
      </c>
      <c r="AF19" s="24">
        <v>2</v>
      </c>
      <c r="AG19" s="24">
        <v>1</v>
      </c>
      <c r="AH19" s="24">
        <v>2</v>
      </c>
      <c r="AI19" s="24">
        <v>1</v>
      </c>
      <c r="AJ19" s="24">
        <v>1</v>
      </c>
      <c r="AK19" s="24">
        <v>1</v>
      </c>
      <c r="AL19" s="24">
        <v>3</v>
      </c>
      <c r="AM19" s="24">
        <v>0</v>
      </c>
      <c r="AN19" s="24">
        <v>2</v>
      </c>
      <c r="AO19" s="24">
        <v>2</v>
      </c>
      <c r="AP19" s="6" t="s">
        <v>76</v>
      </c>
      <c r="AQ19" s="24">
        <v>2</v>
      </c>
      <c r="AR19" s="24">
        <v>2</v>
      </c>
      <c r="AS19" s="24">
        <v>1</v>
      </c>
      <c r="AT19" s="24">
        <v>0</v>
      </c>
      <c r="AU19" s="24">
        <v>2</v>
      </c>
      <c r="AV19" s="6" t="s">
        <v>76</v>
      </c>
      <c r="AW19" s="6" t="s">
        <v>76</v>
      </c>
      <c r="AX19" s="24">
        <v>3</v>
      </c>
      <c r="AY19" s="6" t="s">
        <v>76</v>
      </c>
      <c r="AZ19" s="24">
        <v>3</v>
      </c>
      <c r="BA19" s="24">
        <v>1</v>
      </c>
      <c r="BB19" s="24">
        <v>1</v>
      </c>
      <c r="BC19" s="24">
        <v>2</v>
      </c>
      <c r="BD19" s="24">
        <v>2</v>
      </c>
      <c r="BE19" s="24">
        <v>2</v>
      </c>
      <c r="BF19" s="24">
        <v>0</v>
      </c>
      <c r="BG19" s="13">
        <f>IFERROR(AVERAGE(I19:Y19),"–")</f>
        <v>1.25</v>
      </c>
      <c r="BH19" s="13">
        <f>IFERROR(AVERAGE(Z19:AM19),"–")</f>
        <v>1.2142857142857142</v>
      </c>
      <c r="BI19" s="13">
        <f>IFERROR(AVERAGE(AN19:AY19),"–")</f>
        <v>1.75</v>
      </c>
      <c r="BJ19" s="13">
        <f>IFERROR(AVERAGE(AZ19:BA19),"–")</f>
        <v>2.0</v>
      </c>
      <c r="BK19" s="13">
        <f>IFERROR(AVERAGE(BB19:BF19),"–")</f>
        <v>1.4</v>
      </c>
      <c r="BL19" s="14">
        <f>IFERROR(AVERAGE(I19:BF19),"–")</f>
        <v>1.3777777777777778</v>
      </c>
      <c r="BM19" s="11">
        <f>COUNTIF(I19:BF19,0)</f>
        <v>6</v>
      </c>
    </row>
    <row r="20" spans="1:65">
      <c r="A20" s="3" t="s">
        <v>71</v>
      </c>
      <c r="B20" t="s">
        <v>108</v>
      </c>
      <c r="C20" t="s">
        <v>109</v>
      </c>
      <c r="D20" s="12">
        <v>0</v>
      </c>
      <c r="E20" t="s">
        <v>74</v>
      </c>
      <c r="F20" t="s">
        <v>98</v>
      </c>
      <c r="G20" s="23">
        <v>0.14</v>
      </c>
      <c r="I20" s="24">
        <v>1</v>
      </c>
      <c r="J20" s="24">
        <v>2</v>
      </c>
      <c r="K20" s="24">
        <v>2</v>
      </c>
      <c r="L20" s="24">
        <v>1</v>
      </c>
      <c r="M20" s="24">
        <v>1</v>
      </c>
      <c r="N20" s="24">
        <v>1</v>
      </c>
      <c r="O20" s="24">
        <v>1</v>
      </c>
      <c r="P20" s="24">
        <v>1</v>
      </c>
      <c r="Q20" s="24">
        <v>3</v>
      </c>
      <c r="R20" s="24">
        <v>1</v>
      </c>
      <c r="S20" s="24">
        <v>0</v>
      </c>
      <c r="T20" s="24">
        <v>1</v>
      </c>
      <c r="U20" s="24">
        <v>1</v>
      </c>
      <c r="V20" s="24">
        <v>0</v>
      </c>
      <c r="W20" s="24">
        <v>2</v>
      </c>
      <c r="X20" s="24">
        <v>2</v>
      </c>
      <c r="Y20" s="6" t="s">
        <v>76</v>
      </c>
      <c r="Z20" s="24">
        <v>1</v>
      </c>
      <c r="AA20" s="24">
        <v>0</v>
      </c>
      <c r="AB20" s="24">
        <v>1</v>
      </c>
      <c r="AC20" s="24">
        <v>1</v>
      </c>
      <c r="AD20" s="24">
        <v>1</v>
      </c>
      <c r="AE20" s="24">
        <v>2</v>
      </c>
      <c r="AF20" s="24">
        <v>2</v>
      </c>
      <c r="AG20" s="24">
        <v>1</v>
      </c>
      <c r="AH20" s="24">
        <v>2</v>
      </c>
      <c r="AI20" s="24">
        <v>1</v>
      </c>
      <c r="AJ20" s="24">
        <v>1</v>
      </c>
      <c r="AK20" s="24">
        <v>1</v>
      </c>
      <c r="AL20" s="24">
        <v>3</v>
      </c>
      <c r="AM20" s="24">
        <v>0</v>
      </c>
      <c r="AN20" s="24">
        <v>2</v>
      </c>
      <c r="AO20" s="24">
        <v>2</v>
      </c>
      <c r="AP20" s="6" t="s">
        <v>76</v>
      </c>
      <c r="AQ20" s="24">
        <v>2</v>
      </c>
      <c r="AR20" s="24">
        <v>2</v>
      </c>
      <c r="AS20" s="24">
        <v>1</v>
      </c>
      <c r="AT20" s="24">
        <v>0</v>
      </c>
      <c r="AU20" s="24">
        <v>2</v>
      </c>
      <c r="AV20" s="6" t="s">
        <v>76</v>
      </c>
      <c r="AW20" s="6" t="s">
        <v>76</v>
      </c>
      <c r="AX20" s="24">
        <v>3</v>
      </c>
      <c r="AY20" s="6" t="s">
        <v>76</v>
      </c>
      <c r="AZ20" s="24">
        <v>3</v>
      </c>
      <c r="BA20" s="24">
        <v>1</v>
      </c>
      <c r="BB20" s="24">
        <v>1</v>
      </c>
      <c r="BC20" s="24">
        <v>2</v>
      </c>
      <c r="BD20" s="24">
        <v>2</v>
      </c>
      <c r="BE20" s="24">
        <v>2</v>
      </c>
      <c r="BF20" s="24">
        <v>0</v>
      </c>
      <c r="BG20" s="13">
        <f>IFERROR(AVERAGE(I20:Y20),"–")</f>
        <v>1.25</v>
      </c>
      <c r="BH20" s="13">
        <f>IFERROR(AVERAGE(Z20:AM20),"–")</f>
        <v>1.2142857142857142</v>
      </c>
      <c r="BI20" s="13">
        <f>IFERROR(AVERAGE(AN20:AY20),"–")</f>
        <v>1.75</v>
      </c>
      <c r="BJ20" s="13">
        <f>IFERROR(AVERAGE(AZ20:BA20),"–")</f>
        <v>2.0</v>
      </c>
      <c r="BK20" s="13">
        <f>IFERROR(AVERAGE(BB20:BF20),"–")</f>
        <v>1.4</v>
      </c>
      <c r="BL20" s="14">
        <f>IFERROR(AVERAGE(I20:BF20),"–")</f>
        <v>1.3777777777777778</v>
      </c>
      <c r="BM20" s="11">
        <f>COUNTIF(I20:BF20,0)</f>
        <v>6</v>
      </c>
    </row>
    <row r="21" spans="1:65">
      <c r="A21" s="3" t="s">
        <v>71</v>
      </c>
      <c r="B21" t="s">
        <v>110</v>
      </c>
      <c r="C21" t="s">
        <v>111</v>
      </c>
      <c r="D21" s="12">
        <v>0</v>
      </c>
      <c r="E21" t="s">
        <v>74</v>
      </c>
      <c r="F21" t="s">
        <v>98</v>
      </c>
      <c r="G21" s="23">
        <v>0.14</v>
      </c>
      <c r="H21" t="s">
        <v>103</v>
      </c>
      <c r="I21" s="24">
        <v>1</v>
      </c>
      <c r="J21" s="24">
        <v>2</v>
      </c>
      <c r="K21" s="24">
        <v>2</v>
      </c>
      <c r="L21" s="24">
        <v>1</v>
      </c>
      <c r="M21" s="24">
        <v>1</v>
      </c>
      <c r="N21" s="24">
        <v>1</v>
      </c>
      <c r="O21" s="24">
        <v>1</v>
      </c>
      <c r="P21" s="24">
        <v>1</v>
      </c>
      <c r="Q21" s="24">
        <v>3</v>
      </c>
      <c r="R21" s="24">
        <v>1</v>
      </c>
      <c r="S21" s="24">
        <v>0</v>
      </c>
      <c r="T21" s="24">
        <v>1</v>
      </c>
      <c r="U21" s="24">
        <v>1</v>
      </c>
      <c r="V21" s="24">
        <v>0</v>
      </c>
      <c r="W21" s="24">
        <v>2</v>
      </c>
      <c r="X21" s="24">
        <v>2</v>
      </c>
      <c r="Y21" s="6" t="s">
        <v>76</v>
      </c>
      <c r="Z21" s="24">
        <v>1</v>
      </c>
      <c r="AA21" s="24">
        <v>0</v>
      </c>
      <c r="AB21" s="24">
        <v>1</v>
      </c>
      <c r="AC21" s="24">
        <v>1</v>
      </c>
      <c r="AD21" s="24">
        <v>1</v>
      </c>
      <c r="AE21" s="24">
        <v>2</v>
      </c>
      <c r="AF21" s="24">
        <v>2</v>
      </c>
      <c r="AG21" s="24">
        <v>1</v>
      </c>
      <c r="AH21" s="24">
        <v>2</v>
      </c>
      <c r="AI21" s="24">
        <v>1</v>
      </c>
      <c r="AJ21" s="24">
        <v>1</v>
      </c>
      <c r="AK21" s="24">
        <v>1</v>
      </c>
      <c r="AL21" s="24">
        <v>3</v>
      </c>
      <c r="AM21" s="24">
        <v>0</v>
      </c>
      <c r="AN21" s="24">
        <v>2</v>
      </c>
      <c r="AO21" s="24">
        <v>2</v>
      </c>
      <c r="AP21" s="6" t="s">
        <v>76</v>
      </c>
      <c r="AQ21" s="24">
        <v>2</v>
      </c>
      <c r="AR21" s="24">
        <v>2</v>
      </c>
      <c r="AS21" s="24">
        <v>1</v>
      </c>
      <c r="AT21" s="24">
        <v>0</v>
      </c>
      <c r="AU21" s="24">
        <v>2</v>
      </c>
      <c r="AV21" s="6" t="s">
        <v>76</v>
      </c>
      <c r="AW21" s="6" t="s">
        <v>76</v>
      </c>
      <c r="AX21" s="24">
        <v>3</v>
      </c>
      <c r="AY21" s="6" t="s">
        <v>76</v>
      </c>
      <c r="AZ21" s="24">
        <v>3</v>
      </c>
      <c r="BA21" s="24">
        <v>1</v>
      </c>
      <c r="BB21" s="24">
        <v>1</v>
      </c>
      <c r="BC21" s="24">
        <v>2</v>
      </c>
      <c r="BD21" s="24">
        <v>2</v>
      </c>
      <c r="BE21" s="24">
        <v>2</v>
      </c>
      <c r="BF21" s="24">
        <v>0</v>
      </c>
      <c r="BG21" s="13">
        <f>IFERROR(AVERAGE(I21:Y21),"–")</f>
        <v>1.25</v>
      </c>
      <c r="BH21" s="13">
        <f>IFERROR(AVERAGE(Z21:AM21),"–")</f>
        <v>1.2142857142857142</v>
      </c>
      <c r="BI21" s="13">
        <f>IFERROR(AVERAGE(AN21:AY21),"–")</f>
        <v>1.75</v>
      </c>
      <c r="BJ21" s="13">
        <f>IFERROR(AVERAGE(AZ21:BA21),"–")</f>
        <v>2.0</v>
      </c>
      <c r="BK21" s="13">
        <f>IFERROR(AVERAGE(BB21:BF21),"–")</f>
        <v>1.4</v>
      </c>
      <c r="BL21" s="14">
        <f>IFERROR(AVERAGE(I21:BF21),"–")</f>
        <v>1.3777777777777778</v>
      </c>
      <c r="BM21" s="11">
        <f>COUNTIF(I21:BF21,0)</f>
        <v>6</v>
      </c>
    </row>
    <row r="22" spans="1:65">
      <c r="A22" s="3" t="s">
        <v>71</v>
      </c>
      <c r="B22" t="s">
        <v>112</v>
      </c>
      <c r="C22" t="s">
        <v>113</v>
      </c>
      <c r="D22" s="12">
        <v>0</v>
      </c>
      <c r="E22" t="s">
        <v>74</v>
      </c>
      <c r="F22" t="s">
        <v>98</v>
      </c>
      <c r="G22" s="23">
        <v>0.14</v>
      </c>
      <c r="H22" t="s">
        <v>103</v>
      </c>
      <c r="I22" s="24">
        <v>1</v>
      </c>
      <c r="J22" s="24">
        <v>2</v>
      </c>
      <c r="K22" s="24">
        <v>2</v>
      </c>
      <c r="L22" s="24">
        <v>1</v>
      </c>
      <c r="M22" s="24">
        <v>1</v>
      </c>
      <c r="N22" s="24">
        <v>1</v>
      </c>
      <c r="O22" s="24">
        <v>1</v>
      </c>
      <c r="P22" s="24">
        <v>1</v>
      </c>
      <c r="Q22" s="24">
        <v>3</v>
      </c>
      <c r="R22" s="24">
        <v>1</v>
      </c>
      <c r="S22" s="24">
        <v>0</v>
      </c>
      <c r="T22" s="24">
        <v>1</v>
      </c>
      <c r="U22" s="24">
        <v>1</v>
      </c>
      <c r="V22" s="24">
        <v>0</v>
      </c>
      <c r="W22" s="24">
        <v>2</v>
      </c>
      <c r="X22" s="24">
        <v>2</v>
      </c>
      <c r="Y22" s="6" t="s">
        <v>76</v>
      </c>
      <c r="Z22" s="24">
        <v>1</v>
      </c>
      <c r="AA22" s="24">
        <v>0</v>
      </c>
      <c r="AB22" s="24">
        <v>1</v>
      </c>
      <c r="AC22" s="24">
        <v>1</v>
      </c>
      <c r="AD22" s="24">
        <v>1</v>
      </c>
      <c r="AE22" s="24">
        <v>2</v>
      </c>
      <c r="AF22" s="24">
        <v>2</v>
      </c>
      <c r="AG22" s="24">
        <v>1</v>
      </c>
      <c r="AH22" s="24">
        <v>2</v>
      </c>
      <c r="AI22" s="24">
        <v>1</v>
      </c>
      <c r="AJ22" s="24">
        <v>1</v>
      </c>
      <c r="AK22" s="24">
        <v>1</v>
      </c>
      <c r="AL22" s="24">
        <v>3</v>
      </c>
      <c r="AM22" s="24">
        <v>0</v>
      </c>
      <c r="AN22" s="24">
        <v>2</v>
      </c>
      <c r="AO22" s="24">
        <v>2</v>
      </c>
      <c r="AP22" s="6" t="s">
        <v>76</v>
      </c>
      <c r="AQ22" s="24">
        <v>2</v>
      </c>
      <c r="AR22" s="24">
        <v>2</v>
      </c>
      <c r="AS22" s="24">
        <v>1</v>
      </c>
      <c r="AT22" s="24">
        <v>0</v>
      </c>
      <c r="AU22" s="24">
        <v>2</v>
      </c>
      <c r="AV22" s="6" t="s">
        <v>76</v>
      </c>
      <c r="AW22" s="6" t="s">
        <v>76</v>
      </c>
      <c r="AX22" s="24">
        <v>3</v>
      </c>
      <c r="AY22" s="6" t="s">
        <v>76</v>
      </c>
      <c r="AZ22" s="24">
        <v>3</v>
      </c>
      <c r="BA22" s="24">
        <v>1</v>
      </c>
      <c r="BB22" s="24">
        <v>1</v>
      </c>
      <c r="BC22" s="24">
        <v>2</v>
      </c>
      <c r="BD22" s="24">
        <v>2</v>
      </c>
      <c r="BE22" s="24">
        <v>2</v>
      </c>
      <c r="BF22" s="24">
        <v>0</v>
      </c>
      <c r="BG22" s="13">
        <f>IFERROR(AVERAGE(I22:Y22),"–")</f>
        <v>1.25</v>
      </c>
      <c r="BH22" s="13">
        <f>IFERROR(AVERAGE(Z22:AM22),"–")</f>
        <v>1.2142857142857142</v>
      </c>
      <c r="BI22" s="13">
        <f>IFERROR(AVERAGE(AN22:AY22),"–")</f>
        <v>1.75</v>
      </c>
      <c r="BJ22" s="13">
        <f>IFERROR(AVERAGE(AZ22:BA22),"–")</f>
        <v>2.0</v>
      </c>
      <c r="BK22" s="13">
        <f>IFERROR(AVERAGE(BB22:BF22),"–")</f>
        <v>1.4</v>
      </c>
      <c r="BL22" s="14">
        <f>IFERROR(AVERAGE(I22:BF22),"–")</f>
        <v>1.3777777777777778</v>
      </c>
      <c r="BM22" s="11">
        <f>COUNTIF(I22:BF22,0)</f>
        <v>6</v>
      </c>
    </row>
    <row r="23" spans="1:65">
      <c r="A23" s="3" t="s">
        <v>71</v>
      </c>
      <c r="B23" t="s">
        <v>114</v>
      </c>
      <c r="C23" t="s">
        <v>115</v>
      </c>
      <c r="D23" s="12">
        <v>0</v>
      </c>
      <c r="E23" t="s">
        <v>74</v>
      </c>
      <c r="F23" t="s">
        <v>98</v>
      </c>
      <c r="G23" s="23">
        <v>0.14</v>
      </c>
      <c r="I23" s="24">
        <v>1</v>
      </c>
      <c r="J23" s="24">
        <v>2</v>
      </c>
      <c r="K23" s="24">
        <v>2</v>
      </c>
      <c r="L23" s="24">
        <v>1</v>
      </c>
      <c r="M23" s="24">
        <v>1</v>
      </c>
      <c r="N23" s="24">
        <v>1</v>
      </c>
      <c r="O23" s="24">
        <v>1</v>
      </c>
      <c r="P23" s="24">
        <v>1</v>
      </c>
      <c r="Q23" s="24">
        <v>3</v>
      </c>
      <c r="R23" s="24">
        <v>1</v>
      </c>
      <c r="S23" s="24">
        <v>0</v>
      </c>
      <c r="T23" s="24">
        <v>1</v>
      </c>
      <c r="U23" s="24">
        <v>1</v>
      </c>
      <c r="V23" s="24">
        <v>0</v>
      </c>
      <c r="W23" s="24">
        <v>2</v>
      </c>
      <c r="X23" s="24">
        <v>2</v>
      </c>
      <c r="Y23" s="6" t="s">
        <v>76</v>
      </c>
      <c r="Z23" s="24">
        <v>1</v>
      </c>
      <c r="AA23" s="24">
        <v>0</v>
      </c>
      <c r="AB23" s="24">
        <v>1</v>
      </c>
      <c r="AC23" s="24">
        <v>1</v>
      </c>
      <c r="AD23" s="24">
        <v>1</v>
      </c>
      <c r="AE23" s="24">
        <v>2</v>
      </c>
      <c r="AF23" s="24">
        <v>2</v>
      </c>
      <c r="AG23" s="24">
        <v>1</v>
      </c>
      <c r="AH23" s="24">
        <v>2</v>
      </c>
      <c r="AI23" s="24">
        <v>1</v>
      </c>
      <c r="AJ23" s="24">
        <v>1</v>
      </c>
      <c r="AK23" s="24">
        <v>1</v>
      </c>
      <c r="AL23" s="24">
        <v>3</v>
      </c>
      <c r="AM23" s="24">
        <v>0</v>
      </c>
      <c r="AN23" s="24">
        <v>2</v>
      </c>
      <c r="AO23" s="24">
        <v>2</v>
      </c>
      <c r="AP23" s="6" t="s">
        <v>76</v>
      </c>
      <c r="AQ23" s="24">
        <v>2</v>
      </c>
      <c r="AR23" s="24">
        <v>2</v>
      </c>
      <c r="AS23" s="24">
        <v>1</v>
      </c>
      <c r="AT23" s="24">
        <v>0</v>
      </c>
      <c r="AU23" s="24">
        <v>2</v>
      </c>
      <c r="AV23" s="6" t="s">
        <v>76</v>
      </c>
      <c r="AW23" s="6" t="s">
        <v>76</v>
      </c>
      <c r="AX23" s="24">
        <v>3</v>
      </c>
      <c r="AY23" s="6" t="s">
        <v>76</v>
      </c>
      <c r="AZ23" s="24">
        <v>3</v>
      </c>
      <c r="BA23" s="24">
        <v>1</v>
      </c>
      <c r="BB23" s="24">
        <v>1</v>
      </c>
      <c r="BC23" s="24">
        <v>2</v>
      </c>
      <c r="BD23" s="24">
        <v>2</v>
      </c>
      <c r="BE23" s="24">
        <v>2</v>
      </c>
      <c r="BF23" s="24">
        <v>0</v>
      </c>
      <c r="BG23" s="13">
        <f>IFERROR(AVERAGE(I23:Y23),"–")</f>
        <v>1.25</v>
      </c>
      <c r="BH23" s="13">
        <f>IFERROR(AVERAGE(Z23:AM23),"–")</f>
        <v>1.2142857142857142</v>
      </c>
      <c r="BI23" s="13">
        <f>IFERROR(AVERAGE(AN23:AY23),"–")</f>
        <v>1.75</v>
      </c>
      <c r="BJ23" s="13">
        <f>IFERROR(AVERAGE(AZ23:BA23),"–")</f>
        <v>2.0</v>
      </c>
      <c r="BK23" s="13">
        <f>IFERROR(AVERAGE(BB23:BF23),"–")</f>
        <v>1.4</v>
      </c>
      <c r="BL23" s="14">
        <f>IFERROR(AVERAGE(I23:BF23),"–")</f>
        <v>1.3777777777777778</v>
      </c>
      <c r="BM23" s="11">
        <f>COUNTIF(I23:BF23,0)</f>
        <v>6</v>
      </c>
    </row>
    <row r="24" spans="1:65">
      <c r="A24" s="3" t="s">
        <v>71</v>
      </c>
      <c r="B24" t="s">
        <v>116</v>
      </c>
      <c r="C24" t="s">
        <v>117</v>
      </c>
      <c r="D24" s="12">
        <v>0</v>
      </c>
      <c r="E24" t="s">
        <v>74</v>
      </c>
      <c r="F24" t="s">
        <v>98</v>
      </c>
      <c r="G24" s="23">
        <v>0.14</v>
      </c>
      <c r="I24" s="24">
        <v>1</v>
      </c>
      <c r="J24" s="24">
        <v>2</v>
      </c>
      <c r="K24" s="24">
        <v>2</v>
      </c>
      <c r="L24" s="24">
        <v>1</v>
      </c>
      <c r="M24" s="24">
        <v>1</v>
      </c>
      <c r="N24" s="24">
        <v>1</v>
      </c>
      <c r="O24" s="24">
        <v>1</v>
      </c>
      <c r="P24" s="24">
        <v>1</v>
      </c>
      <c r="Q24" s="24">
        <v>3</v>
      </c>
      <c r="R24" s="24">
        <v>1</v>
      </c>
      <c r="S24" s="24">
        <v>0</v>
      </c>
      <c r="T24" s="24">
        <v>1</v>
      </c>
      <c r="U24" s="24">
        <v>1</v>
      </c>
      <c r="V24" s="24">
        <v>0</v>
      </c>
      <c r="W24" s="24">
        <v>2</v>
      </c>
      <c r="X24" s="24">
        <v>2</v>
      </c>
      <c r="Y24" s="6" t="s">
        <v>76</v>
      </c>
      <c r="Z24" s="24">
        <v>1</v>
      </c>
      <c r="AA24" s="24">
        <v>0</v>
      </c>
      <c r="AB24" s="24">
        <v>1</v>
      </c>
      <c r="AC24" s="24">
        <v>1</v>
      </c>
      <c r="AD24" s="24">
        <v>1</v>
      </c>
      <c r="AE24" s="24">
        <v>2</v>
      </c>
      <c r="AF24" s="24">
        <v>2</v>
      </c>
      <c r="AG24" s="24">
        <v>1</v>
      </c>
      <c r="AH24" s="24">
        <v>2</v>
      </c>
      <c r="AI24" s="24">
        <v>1</v>
      </c>
      <c r="AJ24" s="24">
        <v>1</v>
      </c>
      <c r="AK24" s="24">
        <v>1</v>
      </c>
      <c r="AL24" s="24">
        <v>3</v>
      </c>
      <c r="AM24" s="24">
        <v>0</v>
      </c>
      <c r="AN24" s="24">
        <v>2</v>
      </c>
      <c r="AO24" s="24">
        <v>2</v>
      </c>
      <c r="AP24" s="6" t="s">
        <v>76</v>
      </c>
      <c r="AQ24" s="24">
        <v>2</v>
      </c>
      <c r="AR24" s="24">
        <v>2</v>
      </c>
      <c r="AS24" s="24">
        <v>1</v>
      </c>
      <c r="AT24" s="24">
        <v>0</v>
      </c>
      <c r="AU24" s="24">
        <v>2</v>
      </c>
      <c r="AV24" s="6" t="s">
        <v>76</v>
      </c>
      <c r="AW24" s="6" t="s">
        <v>76</v>
      </c>
      <c r="AX24" s="24">
        <v>3</v>
      </c>
      <c r="AY24" s="6" t="s">
        <v>76</v>
      </c>
      <c r="AZ24" s="24">
        <v>3</v>
      </c>
      <c r="BA24" s="24">
        <v>1</v>
      </c>
      <c r="BB24" s="24">
        <v>1</v>
      </c>
      <c r="BC24" s="24">
        <v>2</v>
      </c>
      <c r="BD24" s="24">
        <v>2</v>
      </c>
      <c r="BE24" s="24">
        <v>2</v>
      </c>
      <c r="BF24" s="24">
        <v>0</v>
      </c>
      <c r="BG24" s="13">
        <f>IFERROR(AVERAGE(I24:Y24),"–")</f>
        <v>1.25</v>
      </c>
      <c r="BH24" s="13">
        <f>IFERROR(AVERAGE(Z24:AM24),"–")</f>
        <v>1.2142857142857142</v>
      </c>
      <c r="BI24" s="13">
        <f>IFERROR(AVERAGE(AN24:AY24),"–")</f>
        <v>1.75</v>
      </c>
      <c r="BJ24" s="13">
        <f>IFERROR(AVERAGE(AZ24:BA24),"–")</f>
        <v>2.0</v>
      </c>
      <c r="BK24" s="13">
        <f>IFERROR(AVERAGE(BB24:BF24),"–")</f>
        <v>1.4</v>
      </c>
      <c r="BL24" s="14">
        <f>IFERROR(AVERAGE(I24:BF24),"–")</f>
        <v>1.3777777777777778</v>
      </c>
      <c r="BM24" s="11">
        <f>COUNTIF(I24:BF24,0)</f>
        <v>6</v>
      </c>
    </row>
    <row r="25" spans="1:65">
      <c r="A25" s="3" t="s">
        <v>71</v>
      </c>
      <c r="B25" t="s">
        <v>118</v>
      </c>
      <c r="C25" t="s">
        <v>119</v>
      </c>
      <c r="D25" s="12">
        <v>0</v>
      </c>
      <c r="E25" t="s">
        <v>74</v>
      </c>
      <c r="F25" t="s">
        <v>75</v>
      </c>
      <c r="G25" s="23">
        <v>0.22</v>
      </c>
      <c r="I25" s="24">
        <v>1</v>
      </c>
      <c r="J25" s="24">
        <v>2</v>
      </c>
      <c r="K25" s="24">
        <v>2</v>
      </c>
      <c r="L25" s="24">
        <v>1</v>
      </c>
      <c r="M25" s="24">
        <v>1</v>
      </c>
      <c r="N25" s="24">
        <v>1</v>
      </c>
      <c r="O25" s="24">
        <v>1</v>
      </c>
      <c r="P25" s="24">
        <v>1</v>
      </c>
      <c r="Q25" s="24">
        <v>3</v>
      </c>
      <c r="R25" s="24">
        <v>1</v>
      </c>
      <c r="S25" s="24">
        <v>0</v>
      </c>
      <c r="T25" s="24">
        <v>1</v>
      </c>
      <c r="U25" s="24">
        <v>1</v>
      </c>
      <c r="V25" s="24">
        <v>0</v>
      </c>
      <c r="W25" s="24">
        <v>2</v>
      </c>
      <c r="X25" s="24">
        <v>2</v>
      </c>
      <c r="Y25" s="6" t="s">
        <v>76</v>
      </c>
      <c r="Z25" s="24">
        <v>1</v>
      </c>
      <c r="AA25" s="24">
        <v>0</v>
      </c>
      <c r="AB25" s="24">
        <v>1</v>
      </c>
      <c r="AC25" s="24">
        <v>1</v>
      </c>
      <c r="AD25" s="24">
        <v>1</v>
      </c>
      <c r="AE25" s="24">
        <v>2</v>
      </c>
      <c r="AF25" s="24">
        <v>2</v>
      </c>
      <c r="AG25" s="24">
        <v>1</v>
      </c>
      <c r="AH25" s="24">
        <v>2</v>
      </c>
      <c r="AI25" s="24">
        <v>1</v>
      </c>
      <c r="AJ25" s="24">
        <v>1</v>
      </c>
      <c r="AK25" s="24">
        <v>1</v>
      </c>
      <c r="AL25" s="24">
        <v>3</v>
      </c>
      <c r="AM25" s="24">
        <v>0</v>
      </c>
      <c r="AN25" s="24">
        <v>2</v>
      </c>
      <c r="AO25" s="24">
        <v>2</v>
      </c>
      <c r="AP25" s="24">
        <v>1</v>
      </c>
      <c r="AQ25" s="24">
        <v>2</v>
      </c>
      <c r="AR25" s="24">
        <v>2</v>
      </c>
      <c r="AS25" s="24">
        <v>1</v>
      </c>
      <c r="AT25" s="24">
        <v>0</v>
      </c>
      <c r="AU25" s="24">
        <v>2</v>
      </c>
      <c r="AV25" s="24">
        <v>1</v>
      </c>
      <c r="AW25" s="24">
        <v>0</v>
      </c>
      <c r="AX25" s="24">
        <v>3</v>
      </c>
      <c r="AY25" s="6" t="s">
        <v>76</v>
      </c>
      <c r="AZ25" s="24">
        <v>3</v>
      </c>
      <c r="BA25" s="24">
        <v>1</v>
      </c>
      <c r="BB25" s="24">
        <v>2</v>
      </c>
      <c r="BC25" s="24">
        <v>2</v>
      </c>
      <c r="BD25" s="24">
        <v>2</v>
      </c>
      <c r="BE25" s="24">
        <v>2</v>
      </c>
      <c r="BF25" s="24">
        <v>0</v>
      </c>
      <c r="BG25" s="13">
        <f>IFERROR(AVERAGE(I25:Y25),"–")</f>
        <v>1.25</v>
      </c>
      <c r="BH25" s="13">
        <f>IFERROR(AVERAGE(Z25:AM25),"–")</f>
        <v>1.2142857142857142</v>
      </c>
      <c r="BI25" s="13">
        <f>IFERROR(AVERAGE(AN25:AY25),"–")</f>
        <v>1.4545454545454546</v>
      </c>
      <c r="BJ25" s="13">
        <f>IFERROR(AVERAGE(AZ25:BA25),"–")</f>
        <v>2.0</v>
      </c>
      <c r="BK25" s="13">
        <f>IFERROR(AVERAGE(BB25:BF25),"–")</f>
        <v>1.6</v>
      </c>
      <c r="BL25" s="14">
        <f>IFERROR(AVERAGE(I25:BF25),"–")</f>
        <v>1.3541666666666667</v>
      </c>
      <c r="BM25" s="11">
        <f>COUNTIF(I25:BF25,0)</f>
        <v>7</v>
      </c>
    </row>
    <row r="26" spans="1:65">
      <c r="A26" s="3" t="s">
        <v>71</v>
      </c>
      <c r="B26" t="s">
        <v>120</v>
      </c>
      <c r="C26" t="s">
        <v>121</v>
      </c>
      <c r="D26" s="12">
        <v>0</v>
      </c>
      <c r="E26" t="s">
        <v>74</v>
      </c>
      <c r="F26" t="s">
        <v>75</v>
      </c>
      <c r="G26" s="23">
        <v>0.1</v>
      </c>
      <c r="I26" s="24">
        <v>1</v>
      </c>
      <c r="J26" s="24">
        <v>2</v>
      </c>
      <c r="K26" s="24">
        <v>2</v>
      </c>
      <c r="L26" s="24">
        <v>1</v>
      </c>
      <c r="M26" s="24">
        <v>1</v>
      </c>
      <c r="N26" s="24">
        <v>1</v>
      </c>
      <c r="O26" s="24">
        <v>1</v>
      </c>
      <c r="P26" s="24">
        <v>1</v>
      </c>
      <c r="Q26" s="24">
        <v>3</v>
      </c>
      <c r="R26" s="24">
        <v>1</v>
      </c>
      <c r="S26" s="24">
        <v>0</v>
      </c>
      <c r="T26" s="24">
        <v>1</v>
      </c>
      <c r="U26" s="24">
        <v>1</v>
      </c>
      <c r="V26" s="24">
        <v>0</v>
      </c>
      <c r="W26" s="24">
        <v>2</v>
      </c>
      <c r="X26" s="24">
        <v>2</v>
      </c>
      <c r="Y26" s="6" t="s">
        <v>76</v>
      </c>
      <c r="Z26" s="24">
        <v>1</v>
      </c>
      <c r="AA26" s="24">
        <v>0</v>
      </c>
      <c r="AB26" s="24">
        <v>1</v>
      </c>
      <c r="AC26" s="24">
        <v>1</v>
      </c>
      <c r="AD26" s="24">
        <v>1</v>
      </c>
      <c r="AE26" s="24">
        <v>2</v>
      </c>
      <c r="AF26" s="24">
        <v>2</v>
      </c>
      <c r="AG26" s="24">
        <v>1</v>
      </c>
      <c r="AH26" s="24">
        <v>2</v>
      </c>
      <c r="AI26" s="24">
        <v>1</v>
      </c>
      <c r="AJ26" s="24">
        <v>1</v>
      </c>
      <c r="AK26" s="24">
        <v>1</v>
      </c>
      <c r="AL26" s="24">
        <v>3</v>
      </c>
      <c r="AM26" s="24">
        <v>0</v>
      </c>
      <c r="AN26" s="24">
        <v>2</v>
      </c>
      <c r="AO26" s="24">
        <v>2</v>
      </c>
      <c r="AP26" s="24">
        <v>1</v>
      </c>
      <c r="AQ26" s="24">
        <v>2</v>
      </c>
      <c r="AR26" s="24">
        <v>3</v>
      </c>
      <c r="AS26" s="24">
        <v>1</v>
      </c>
      <c r="AT26" s="24">
        <v>0</v>
      </c>
      <c r="AU26" s="24">
        <v>2</v>
      </c>
      <c r="AV26" s="24">
        <v>1</v>
      </c>
      <c r="AW26" s="24">
        <v>0</v>
      </c>
      <c r="AX26" s="24">
        <v>3</v>
      </c>
      <c r="AY26" s="6" t="s">
        <v>76</v>
      </c>
      <c r="AZ26" s="24">
        <v>3</v>
      </c>
      <c r="BA26" s="24">
        <v>1</v>
      </c>
      <c r="BB26" s="24">
        <v>2</v>
      </c>
      <c r="BC26" s="24">
        <v>2</v>
      </c>
      <c r="BD26" s="24">
        <v>2</v>
      </c>
      <c r="BE26" s="24">
        <v>2</v>
      </c>
      <c r="BF26" s="24">
        <v>0</v>
      </c>
      <c r="BG26" s="13">
        <f>IFERROR(AVERAGE(I26:Y26),"–")</f>
        <v>1.25</v>
      </c>
      <c r="BH26" s="13">
        <f>IFERROR(AVERAGE(Z26:AM26),"–")</f>
        <v>1.2142857142857142</v>
      </c>
      <c r="BI26" s="13">
        <f>IFERROR(AVERAGE(AN26:AY26),"–")</f>
        <v>1.5454545454545454</v>
      </c>
      <c r="BJ26" s="13">
        <f>IFERROR(AVERAGE(AZ26:BA26),"–")</f>
        <v>2.0</v>
      </c>
      <c r="BK26" s="13">
        <f>IFERROR(AVERAGE(BB26:BF26),"–")</f>
        <v>1.6</v>
      </c>
      <c r="BL26" s="14">
        <f>IFERROR(AVERAGE(I26:BF26),"–")</f>
        <v>1.375</v>
      </c>
      <c r="BM26" s="11">
        <f>COUNTIF(I26:BF26,0)</f>
        <v>7</v>
      </c>
    </row>
    <row r="27" spans="1:65">
      <c r="A27" s="3" t="s">
        <v>71</v>
      </c>
      <c r="B27" t="s">
        <v>122</v>
      </c>
      <c r="C27" t="s">
        <v>123</v>
      </c>
      <c r="D27" s="12">
        <v>0</v>
      </c>
      <c r="E27" t="s">
        <v>74</v>
      </c>
      <c r="F27" t="s">
        <v>75</v>
      </c>
      <c r="G27" s="23">
        <v>0.1</v>
      </c>
      <c r="I27" s="24">
        <v>1</v>
      </c>
      <c r="J27" s="24">
        <v>2</v>
      </c>
      <c r="K27" s="24">
        <v>2</v>
      </c>
      <c r="L27" s="24">
        <v>1</v>
      </c>
      <c r="M27" s="24">
        <v>1</v>
      </c>
      <c r="N27" s="24">
        <v>1</v>
      </c>
      <c r="O27" s="24">
        <v>1</v>
      </c>
      <c r="P27" s="24">
        <v>1</v>
      </c>
      <c r="Q27" s="24">
        <v>3</v>
      </c>
      <c r="R27" s="24">
        <v>1</v>
      </c>
      <c r="S27" s="24">
        <v>0</v>
      </c>
      <c r="T27" s="24">
        <v>1</v>
      </c>
      <c r="U27" s="24">
        <v>1</v>
      </c>
      <c r="V27" s="24">
        <v>0</v>
      </c>
      <c r="W27" s="24">
        <v>2</v>
      </c>
      <c r="X27" s="24">
        <v>2</v>
      </c>
      <c r="Y27" s="6" t="s">
        <v>76</v>
      </c>
      <c r="Z27" s="24">
        <v>1</v>
      </c>
      <c r="AA27" s="24">
        <v>0</v>
      </c>
      <c r="AB27" s="24">
        <v>1</v>
      </c>
      <c r="AC27" s="24">
        <v>1</v>
      </c>
      <c r="AD27" s="24">
        <v>1</v>
      </c>
      <c r="AE27" s="24">
        <v>2</v>
      </c>
      <c r="AF27" s="24">
        <v>2</v>
      </c>
      <c r="AG27" s="24">
        <v>1</v>
      </c>
      <c r="AH27" s="24">
        <v>2</v>
      </c>
      <c r="AI27" s="24">
        <v>1</v>
      </c>
      <c r="AJ27" s="24">
        <v>1</v>
      </c>
      <c r="AK27" s="24">
        <v>1</v>
      </c>
      <c r="AL27" s="24">
        <v>3</v>
      </c>
      <c r="AM27" s="24">
        <v>0</v>
      </c>
      <c r="AN27" s="24">
        <v>2</v>
      </c>
      <c r="AO27" s="24">
        <v>2</v>
      </c>
      <c r="AP27" s="24">
        <v>1</v>
      </c>
      <c r="AQ27" s="24">
        <v>2</v>
      </c>
      <c r="AR27" s="24">
        <v>3</v>
      </c>
      <c r="AS27" s="24">
        <v>1</v>
      </c>
      <c r="AT27" s="24">
        <v>0</v>
      </c>
      <c r="AU27" s="24">
        <v>2</v>
      </c>
      <c r="AV27" s="24">
        <v>1</v>
      </c>
      <c r="AW27" s="24">
        <v>0</v>
      </c>
      <c r="AX27" s="24">
        <v>3</v>
      </c>
      <c r="AY27" s="6" t="s">
        <v>76</v>
      </c>
      <c r="AZ27" s="24">
        <v>3</v>
      </c>
      <c r="BA27" s="24">
        <v>1</v>
      </c>
      <c r="BB27" s="24">
        <v>2</v>
      </c>
      <c r="BC27" s="24">
        <v>2</v>
      </c>
      <c r="BD27" s="24">
        <v>2</v>
      </c>
      <c r="BE27" s="24">
        <v>2</v>
      </c>
      <c r="BF27" s="24">
        <v>0</v>
      </c>
      <c r="BG27" s="13">
        <f>IFERROR(AVERAGE(I27:Y27),"–")</f>
        <v>1.25</v>
      </c>
      <c r="BH27" s="13">
        <f>IFERROR(AVERAGE(Z27:AM27),"–")</f>
        <v>1.2142857142857142</v>
      </c>
      <c r="BI27" s="13">
        <f>IFERROR(AVERAGE(AN27:AY27),"–")</f>
        <v>1.5454545454545454</v>
      </c>
      <c r="BJ27" s="13">
        <f>IFERROR(AVERAGE(AZ27:BA27),"–")</f>
        <v>2.0</v>
      </c>
      <c r="BK27" s="13">
        <f>IFERROR(AVERAGE(BB27:BF27),"–")</f>
        <v>1.6</v>
      </c>
      <c r="BL27" s="14">
        <f>IFERROR(AVERAGE(I27:BF27),"–")</f>
        <v>1.375</v>
      </c>
      <c r="BM27" s="11">
        <f>COUNTIF(I27:BF27,0)</f>
        <v>7</v>
      </c>
    </row>
    <row r="28" spans="1:65">
      <c r="A28" s="3" t="s">
        <v>71</v>
      </c>
      <c r="B28" t="s">
        <v>124</v>
      </c>
      <c r="C28" t="s">
        <v>125</v>
      </c>
      <c r="D28" s="12">
        <v>0</v>
      </c>
      <c r="E28" t="s">
        <v>74</v>
      </c>
      <c r="F28" t="s">
        <v>75</v>
      </c>
      <c r="G28" s="23">
        <v>0.1</v>
      </c>
      <c r="I28" s="24">
        <v>1</v>
      </c>
      <c r="J28" s="24">
        <v>2</v>
      </c>
      <c r="K28" s="24">
        <v>1</v>
      </c>
      <c r="L28" s="24">
        <v>1</v>
      </c>
      <c r="M28" s="24">
        <v>1</v>
      </c>
      <c r="N28" s="24">
        <v>1</v>
      </c>
      <c r="O28" s="24">
        <v>1</v>
      </c>
      <c r="P28" s="24">
        <v>1</v>
      </c>
      <c r="Q28" s="24">
        <v>3</v>
      </c>
      <c r="R28" s="24">
        <v>1</v>
      </c>
      <c r="S28" s="24">
        <v>0</v>
      </c>
      <c r="T28" s="24">
        <v>1</v>
      </c>
      <c r="U28" s="24">
        <v>1</v>
      </c>
      <c r="V28" s="24">
        <v>0</v>
      </c>
      <c r="W28" s="24">
        <v>2</v>
      </c>
      <c r="X28" s="24">
        <v>2</v>
      </c>
      <c r="Y28" s="6" t="s">
        <v>76</v>
      </c>
      <c r="Z28" s="24">
        <v>1</v>
      </c>
      <c r="AA28" s="24">
        <v>0</v>
      </c>
      <c r="AB28" s="24">
        <v>1</v>
      </c>
      <c r="AC28" s="24">
        <v>1</v>
      </c>
      <c r="AD28" s="24">
        <v>1</v>
      </c>
      <c r="AE28" s="24">
        <v>2</v>
      </c>
      <c r="AF28" s="24">
        <v>2</v>
      </c>
      <c r="AG28" s="24">
        <v>1</v>
      </c>
      <c r="AH28" s="24">
        <v>2</v>
      </c>
      <c r="AI28" s="24">
        <v>1</v>
      </c>
      <c r="AJ28" s="24">
        <v>1</v>
      </c>
      <c r="AK28" s="24">
        <v>1</v>
      </c>
      <c r="AL28" s="24">
        <v>3</v>
      </c>
      <c r="AM28" s="24">
        <v>0</v>
      </c>
      <c r="AN28" s="24">
        <v>2</v>
      </c>
      <c r="AO28" s="24">
        <v>2</v>
      </c>
      <c r="AP28" s="24">
        <v>1</v>
      </c>
      <c r="AQ28" s="24">
        <v>2</v>
      </c>
      <c r="AR28" s="24">
        <v>3</v>
      </c>
      <c r="AS28" s="24">
        <v>1</v>
      </c>
      <c r="AT28" s="24">
        <v>0</v>
      </c>
      <c r="AU28" s="24">
        <v>2</v>
      </c>
      <c r="AV28" s="24">
        <v>1</v>
      </c>
      <c r="AW28" s="24">
        <v>0</v>
      </c>
      <c r="AX28" s="24">
        <v>3</v>
      </c>
      <c r="AY28" s="6" t="s">
        <v>76</v>
      </c>
      <c r="AZ28" s="24">
        <v>3</v>
      </c>
      <c r="BA28" s="24">
        <v>1</v>
      </c>
      <c r="BB28" s="24">
        <v>2</v>
      </c>
      <c r="BC28" s="24">
        <v>2</v>
      </c>
      <c r="BD28" s="24">
        <v>2</v>
      </c>
      <c r="BE28" s="24">
        <v>2</v>
      </c>
      <c r="BF28" s="24">
        <v>0</v>
      </c>
      <c r="BG28" s="13">
        <f>IFERROR(AVERAGE(I28:Y28),"–")</f>
        <v>1.1875</v>
      </c>
      <c r="BH28" s="13">
        <f>IFERROR(AVERAGE(Z28:AM28),"–")</f>
        <v>1.2142857142857142</v>
      </c>
      <c r="BI28" s="13">
        <f>IFERROR(AVERAGE(AN28:AY28),"–")</f>
        <v>1.5454545454545454</v>
      </c>
      <c r="BJ28" s="13">
        <f>IFERROR(AVERAGE(AZ28:BA28),"–")</f>
        <v>2.0</v>
      </c>
      <c r="BK28" s="13">
        <f>IFERROR(AVERAGE(BB28:BF28),"–")</f>
        <v>1.6</v>
      </c>
      <c r="BL28" s="14">
        <f>IFERROR(AVERAGE(I28:BF28),"–")</f>
        <v>1.3541666666666667</v>
      </c>
      <c r="BM28" s="11">
        <f>COUNTIF(I28:BF28,0)</f>
        <v>7</v>
      </c>
    </row>
    <row r="29" spans="1:65">
      <c r="A29" s="3" t="s">
        <v>71</v>
      </c>
      <c r="B29" t="s">
        <v>126</v>
      </c>
      <c r="C29" t="s">
        <v>127</v>
      </c>
      <c r="D29" s="12">
        <v>0</v>
      </c>
      <c r="E29" t="s">
        <v>74</v>
      </c>
      <c r="F29" t="s">
        <v>75</v>
      </c>
      <c r="G29" s="23">
        <v>0.12</v>
      </c>
      <c r="I29" s="24">
        <v>1</v>
      </c>
      <c r="J29" s="24">
        <v>2</v>
      </c>
      <c r="K29" s="24">
        <v>1</v>
      </c>
      <c r="L29" s="24">
        <v>1</v>
      </c>
      <c r="M29" s="24">
        <v>1</v>
      </c>
      <c r="N29" s="24">
        <v>1</v>
      </c>
      <c r="O29" s="24">
        <v>1</v>
      </c>
      <c r="P29" s="24">
        <v>1</v>
      </c>
      <c r="Q29" s="24">
        <v>3</v>
      </c>
      <c r="R29" s="24">
        <v>1</v>
      </c>
      <c r="S29" s="24">
        <v>0</v>
      </c>
      <c r="T29" s="24">
        <v>1</v>
      </c>
      <c r="U29" s="24">
        <v>1</v>
      </c>
      <c r="V29" s="24">
        <v>0</v>
      </c>
      <c r="W29" s="24">
        <v>2</v>
      </c>
      <c r="X29" s="24">
        <v>2</v>
      </c>
      <c r="Y29" s="6" t="s">
        <v>76</v>
      </c>
      <c r="Z29" s="24">
        <v>1</v>
      </c>
      <c r="AA29" s="24">
        <v>0</v>
      </c>
      <c r="AB29" s="24">
        <v>1</v>
      </c>
      <c r="AC29" s="24">
        <v>1</v>
      </c>
      <c r="AD29" s="24">
        <v>1</v>
      </c>
      <c r="AE29" s="24">
        <v>2</v>
      </c>
      <c r="AF29" s="24">
        <v>2</v>
      </c>
      <c r="AG29" s="24">
        <v>1</v>
      </c>
      <c r="AH29" s="24">
        <v>2</v>
      </c>
      <c r="AI29" s="24">
        <v>1</v>
      </c>
      <c r="AJ29" s="24">
        <v>1</v>
      </c>
      <c r="AK29" s="24">
        <v>1</v>
      </c>
      <c r="AL29" s="24">
        <v>3</v>
      </c>
      <c r="AM29" s="24">
        <v>0</v>
      </c>
      <c r="AN29" s="24">
        <v>2</v>
      </c>
      <c r="AO29" s="24">
        <v>2</v>
      </c>
      <c r="AP29" s="6" t="s">
        <v>76</v>
      </c>
      <c r="AQ29" s="24">
        <v>2</v>
      </c>
      <c r="AR29" s="24">
        <v>2</v>
      </c>
      <c r="AS29" s="24">
        <v>1</v>
      </c>
      <c r="AT29" s="24">
        <v>0</v>
      </c>
      <c r="AU29" s="24">
        <v>2</v>
      </c>
      <c r="AV29" s="6" t="s">
        <v>76</v>
      </c>
      <c r="AW29" s="6" t="s">
        <v>76</v>
      </c>
      <c r="AX29" s="24">
        <v>3</v>
      </c>
      <c r="AY29" s="6" t="s">
        <v>76</v>
      </c>
      <c r="AZ29" s="24">
        <v>3</v>
      </c>
      <c r="BA29" s="24">
        <v>1</v>
      </c>
      <c r="BB29" s="24">
        <v>2</v>
      </c>
      <c r="BC29" s="24">
        <v>2</v>
      </c>
      <c r="BD29" s="24">
        <v>2</v>
      </c>
      <c r="BE29" s="24">
        <v>2</v>
      </c>
      <c r="BF29" s="24">
        <v>0</v>
      </c>
      <c r="BG29" s="13">
        <f>IFERROR(AVERAGE(I29:Y29),"–")</f>
        <v>1.1875</v>
      </c>
      <c r="BH29" s="13">
        <f>IFERROR(AVERAGE(Z29:AM29),"–")</f>
        <v>1.2142857142857142</v>
      </c>
      <c r="BI29" s="13">
        <f>IFERROR(AVERAGE(AN29:AY29),"–")</f>
        <v>1.75</v>
      </c>
      <c r="BJ29" s="13">
        <f>IFERROR(AVERAGE(AZ29:BA29),"–")</f>
        <v>2.0</v>
      </c>
      <c r="BK29" s="13">
        <f>IFERROR(AVERAGE(BB29:BF29),"–")</f>
        <v>1.6</v>
      </c>
      <c r="BL29" s="14">
        <f>IFERROR(AVERAGE(I29:BF29),"–")</f>
        <v>1.3777777777777778</v>
      </c>
      <c r="BM29" s="11">
        <f>COUNTIF(I29:BF29,0)</f>
        <v>6</v>
      </c>
    </row>
    <row r="30" spans="1:65">
      <c r="A30" s="3" t="s">
        <v>71</v>
      </c>
      <c r="B30" t="s">
        <v>128</v>
      </c>
      <c r="C30" t="s">
        <v>129</v>
      </c>
      <c r="D30" s="12">
        <v>0</v>
      </c>
      <c r="E30" t="s">
        <v>74</v>
      </c>
      <c r="F30" t="s">
        <v>75</v>
      </c>
      <c r="G30" s="23">
        <v>0.1</v>
      </c>
      <c r="I30" s="24">
        <v>1</v>
      </c>
      <c r="J30" s="24">
        <v>2</v>
      </c>
      <c r="K30" s="24">
        <v>2</v>
      </c>
      <c r="L30" s="24">
        <v>1</v>
      </c>
      <c r="M30" s="24">
        <v>1</v>
      </c>
      <c r="N30" s="24">
        <v>1</v>
      </c>
      <c r="O30" s="24">
        <v>1</v>
      </c>
      <c r="P30" s="24">
        <v>1</v>
      </c>
      <c r="Q30" s="24">
        <v>3</v>
      </c>
      <c r="R30" s="24">
        <v>1</v>
      </c>
      <c r="S30" s="24">
        <v>0</v>
      </c>
      <c r="T30" s="24">
        <v>1</v>
      </c>
      <c r="U30" s="24">
        <v>1</v>
      </c>
      <c r="V30" s="24">
        <v>0</v>
      </c>
      <c r="W30" s="24">
        <v>2</v>
      </c>
      <c r="X30" s="24">
        <v>2</v>
      </c>
      <c r="Y30" s="6" t="s">
        <v>76</v>
      </c>
      <c r="Z30" s="24">
        <v>1</v>
      </c>
      <c r="AA30" s="24">
        <v>0</v>
      </c>
      <c r="AB30" s="24">
        <v>1</v>
      </c>
      <c r="AC30" s="24">
        <v>1</v>
      </c>
      <c r="AD30" s="24">
        <v>1</v>
      </c>
      <c r="AE30" s="24">
        <v>2</v>
      </c>
      <c r="AF30" s="24">
        <v>2</v>
      </c>
      <c r="AG30" s="24">
        <v>1</v>
      </c>
      <c r="AH30" s="24">
        <v>2</v>
      </c>
      <c r="AI30" s="24">
        <v>1</v>
      </c>
      <c r="AJ30" s="24">
        <v>1</v>
      </c>
      <c r="AK30" s="24">
        <v>1</v>
      </c>
      <c r="AL30" s="24">
        <v>3</v>
      </c>
      <c r="AM30" s="24">
        <v>0</v>
      </c>
      <c r="AN30" s="24">
        <v>2</v>
      </c>
      <c r="AO30" s="24">
        <v>2</v>
      </c>
      <c r="AP30" s="24">
        <v>1</v>
      </c>
      <c r="AQ30" s="24">
        <v>2</v>
      </c>
      <c r="AR30" s="24">
        <v>3</v>
      </c>
      <c r="AS30" s="24">
        <v>1</v>
      </c>
      <c r="AT30" s="24">
        <v>0</v>
      </c>
      <c r="AU30" s="24">
        <v>2</v>
      </c>
      <c r="AV30" s="24">
        <v>1</v>
      </c>
      <c r="AW30" s="24">
        <v>0</v>
      </c>
      <c r="AX30" s="24">
        <v>3</v>
      </c>
      <c r="AY30" s="6" t="s">
        <v>76</v>
      </c>
      <c r="AZ30" s="24">
        <v>3</v>
      </c>
      <c r="BA30" s="24">
        <v>1</v>
      </c>
      <c r="BB30" s="24">
        <v>2</v>
      </c>
      <c r="BC30" s="24">
        <v>2</v>
      </c>
      <c r="BD30" s="24">
        <v>2</v>
      </c>
      <c r="BE30" s="24">
        <v>2</v>
      </c>
      <c r="BF30" s="24">
        <v>0</v>
      </c>
      <c r="BG30" s="13">
        <f>IFERROR(AVERAGE(I30:Y30),"–")</f>
        <v>1.25</v>
      </c>
      <c r="BH30" s="13">
        <f>IFERROR(AVERAGE(Z30:AM30),"–")</f>
        <v>1.2142857142857142</v>
      </c>
      <c r="BI30" s="13">
        <f>IFERROR(AVERAGE(AN30:AY30),"–")</f>
        <v>1.5454545454545454</v>
      </c>
      <c r="BJ30" s="13">
        <f>IFERROR(AVERAGE(AZ30:BA30),"–")</f>
        <v>2.0</v>
      </c>
      <c r="BK30" s="13">
        <f>IFERROR(AVERAGE(BB30:BF30),"–")</f>
        <v>1.6</v>
      </c>
      <c r="BL30" s="14">
        <f>IFERROR(AVERAGE(I30:BF30),"–")</f>
        <v>1.375</v>
      </c>
      <c r="BM30" s="11">
        <f>COUNTIF(I30:BF30,0)</f>
        <v>7</v>
      </c>
    </row>
    <row r="31" spans="1:65">
      <c r="A31" s="3" t="s">
        <v>71</v>
      </c>
      <c r="B31" t="s">
        <v>130</v>
      </c>
      <c r="C31" t="s">
        <v>131</v>
      </c>
      <c r="D31" s="12">
        <v>0</v>
      </c>
      <c r="E31" t="s">
        <v>74</v>
      </c>
      <c r="F31" t="s">
        <v>89</v>
      </c>
      <c r="G31" s="23">
        <v>0.14</v>
      </c>
      <c r="I31" s="24">
        <v>1</v>
      </c>
      <c r="J31" s="24">
        <v>2</v>
      </c>
      <c r="K31" s="24">
        <v>2</v>
      </c>
      <c r="L31" s="24">
        <v>1</v>
      </c>
      <c r="M31" s="24">
        <v>1</v>
      </c>
      <c r="N31" s="24">
        <v>1</v>
      </c>
      <c r="O31" s="24">
        <v>1</v>
      </c>
      <c r="P31" s="24">
        <v>1</v>
      </c>
      <c r="Q31" s="24">
        <v>3</v>
      </c>
      <c r="R31" s="24">
        <v>1</v>
      </c>
      <c r="S31" s="24">
        <v>0</v>
      </c>
      <c r="T31" s="24">
        <v>1</v>
      </c>
      <c r="U31" s="24">
        <v>1</v>
      </c>
      <c r="V31" s="24">
        <v>0</v>
      </c>
      <c r="W31" s="24">
        <v>2</v>
      </c>
      <c r="X31" s="24">
        <v>2</v>
      </c>
      <c r="Y31" s="6" t="s">
        <v>76</v>
      </c>
      <c r="Z31" s="24">
        <v>1</v>
      </c>
      <c r="AA31" s="24">
        <v>0</v>
      </c>
      <c r="AB31" s="24">
        <v>1</v>
      </c>
      <c r="AC31" s="24">
        <v>1</v>
      </c>
      <c r="AD31" s="24">
        <v>1</v>
      </c>
      <c r="AE31" s="24">
        <v>2</v>
      </c>
      <c r="AF31" s="24">
        <v>2</v>
      </c>
      <c r="AG31" s="24">
        <v>1</v>
      </c>
      <c r="AH31" s="24">
        <v>2</v>
      </c>
      <c r="AI31" s="24">
        <v>1</v>
      </c>
      <c r="AJ31" s="24">
        <v>1</v>
      </c>
      <c r="AK31" s="24">
        <v>1</v>
      </c>
      <c r="AL31" s="24">
        <v>3</v>
      </c>
      <c r="AM31" s="24">
        <v>0</v>
      </c>
      <c r="AN31" s="24">
        <v>2</v>
      </c>
      <c r="AO31" s="24">
        <v>2</v>
      </c>
      <c r="AP31" s="24">
        <v>1</v>
      </c>
      <c r="AQ31" s="24">
        <v>2</v>
      </c>
      <c r="AR31" s="24">
        <v>2</v>
      </c>
      <c r="AS31" s="24">
        <v>1</v>
      </c>
      <c r="AT31" s="24">
        <v>0</v>
      </c>
      <c r="AU31" s="24">
        <v>2</v>
      </c>
      <c r="AV31" s="24">
        <v>1</v>
      </c>
      <c r="AW31" s="24">
        <v>0</v>
      </c>
      <c r="AX31" s="24">
        <v>3</v>
      </c>
      <c r="AY31" s="6" t="s">
        <v>76</v>
      </c>
      <c r="AZ31" s="24">
        <v>3</v>
      </c>
      <c r="BA31" s="24">
        <v>1</v>
      </c>
      <c r="BB31" s="24">
        <v>2</v>
      </c>
      <c r="BC31" s="24">
        <v>2</v>
      </c>
      <c r="BD31" s="24">
        <v>2</v>
      </c>
      <c r="BE31" s="24">
        <v>2</v>
      </c>
      <c r="BF31" s="24">
        <v>0</v>
      </c>
      <c r="BG31" s="13">
        <f>IFERROR(AVERAGE(I31:Y31),"–")</f>
        <v>1.25</v>
      </c>
      <c r="BH31" s="13">
        <f>IFERROR(AVERAGE(Z31:AM31),"–")</f>
        <v>1.2142857142857142</v>
      </c>
      <c r="BI31" s="13">
        <f>IFERROR(AVERAGE(AN31:AY31),"–")</f>
        <v>1.4545454545454546</v>
      </c>
      <c r="BJ31" s="13">
        <f>IFERROR(AVERAGE(AZ31:BA31),"–")</f>
        <v>2.0</v>
      </c>
      <c r="BK31" s="13">
        <f>IFERROR(AVERAGE(BB31:BF31),"–")</f>
        <v>1.6</v>
      </c>
      <c r="BL31" s="14">
        <f>IFERROR(AVERAGE(I31:BF31),"–")</f>
        <v>1.3541666666666667</v>
      </c>
      <c r="BM31" s="11">
        <f>COUNTIF(I31:BF31,0)</f>
        <v>7</v>
      </c>
    </row>
    <row r="32" spans="1:65">
      <c r="A32" s="3" t="s">
        <v>71</v>
      </c>
      <c r="B32" t="s">
        <v>132</v>
      </c>
      <c r="C32" t="s">
        <v>133</v>
      </c>
      <c r="D32" s="12">
        <v>0</v>
      </c>
      <c r="E32" t="s">
        <v>74</v>
      </c>
      <c r="F32" t="s">
        <v>89</v>
      </c>
      <c r="G32" s="23">
        <v>0.21</v>
      </c>
      <c r="I32" s="24">
        <v>1</v>
      </c>
      <c r="J32" s="24">
        <v>2</v>
      </c>
      <c r="K32" s="24">
        <v>2</v>
      </c>
      <c r="L32" s="24">
        <v>1</v>
      </c>
      <c r="M32" s="24">
        <v>1</v>
      </c>
      <c r="N32" s="24">
        <v>1</v>
      </c>
      <c r="O32" s="24">
        <v>1</v>
      </c>
      <c r="P32" s="24">
        <v>1</v>
      </c>
      <c r="Q32" s="24">
        <v>3</v>
      </c>
      <c r="R32" s="24">
        <v>1</v>
      </c>
      <c r="S32" s="24">
        <v>0</v>
      </c>
      <c r="T32" s="24">
        <v>1</v>
      </c>
      <c r="U32" s="24">
        <v>1</v>
      </c>
      <c r="V32" s="24">
        <v>0</v>
      </c>
      <c r="W32" s="24">
        <v>2</v>
      </c>
      <c r="X32" s="24">
        <v>2</v>
      </c>
      <c r="Y32" s="6" t="s">
        <v>76</v>
      </c>
      <c r="Z32" s="24">
        <v>1</v>
      </c>
      <c r="AA32" s="24">
        <v>0</v>
      </c>
      <c r="AB32" s="24">
        <v>1</v>
      </c>
      <c r="AC32" s="24">
        <v>1</v>
      </c>
      <c r="AD32" s="24">
        <v>1</v>
      </c>
      <c r="AE32" s="24">
        <v>2</v>
      </c>
      <c r="AF32" s="24">
        <v>2</v>
      </c>
      <c r="AG32" s="24">
        <v>1</v>
      </c>
      <c r="AH32" s="24">
        <v>2</v>
      </c>
      <c r="AI32" s="24">
        <v>1</v>
      </c>
      <c r="AJ32" s="24">
        <v>1</v>
      </c>
      <c r="AK32" s="24">
        <v>1</v>
      </c>
      <c r="AL32" s="24">
        <v>3</v>
      </c>
      <c r="AM32" s="24">
        <v>0</v>
      </c>
      <c r="AN32" s="24">
        <v>2</v>
      </c>
      <c r="AO32" s="24">
        <v>2</v>
      </c>
      <c r="AP32" s="6" t="s">
        <v>76</v>
      </c>
      <c r="AQ32" s="24">
        <v>2</v>
      </c>
      <c r="AR32" s="24">
        <v>2</v>
      </c>
      <c r="AS32" s="24">
        <v>1</v>
      </c>
      <c r="AT32" s="24">
        <v>0</v>
      </c>
      <c r="AU32" s="24">
        <v>2</v>
      </c>
      <c r="AV32" s="6" t="s">
        <v>76</v>
      </c>
      <c r="AW32" s="6" t="s">
        <v>76</v>
      </c>
      <c r="AX32" s="24">
        <v>3</v>
      </c>
      <c r="AY32" s="6" t="s">
        <v>76</v>
      </c>
      <c r="AZ32" s="24">
        <v>3</v>
      </c>
      <c r="BA32" s="24">
        <v>1</v>
      </c>
      <c r="BB32" s="24">
        <v>2</v>
      </c>
      <c r="BC32" s="24">
        <v>2</v>
      </c>
      <c r="BD32" s="24">
        <v>2</v>
      </c>
      <c r="BE32" s="24">
        <v>2</v>
      </c>
      <c r="BF32" s="24">
        <v>0</v>
      </c>
      <c r="BG32" s="13">
        <f>IFERROR(AVERAGE(I32:Y32),"–")</f>
        <v>1.25</v>
      </c>
      <c r="BH32" s="13">
        <f>IFERROR(AVERAGE(Z32:AM32),"–")</f>
        <v>1.2142857142857142</v>
      </c>
      <c r="BI32" s="13">
        <f>IFERROR(AVERAGE(AN32:AY32),"–")</f>
        <v>1.75</v>
      </c>
      <c r="BJ32" s="13">
        <f>IFERROR(AVERAGE(AZ32:BA32),"–")</f>
        <v>2.0</v>
      </c>
      <c r="BK32" s="13">
        <f>IFERROR(AVERAGE(BB32:BF32),"–")</f>
        <v>1.6</v>
      </c>
      <c r="BL32" s="14">
        <f>IFERROR(AVERAGE(I32:BF32),"–")</f>
        <v>1.4</v>
      </c>
      <c r="BM32" s="11">
        <f>COUNTIF(I32:BF32,0)</f>
        <v>6</v>
      </c>
    </row>
    <row r="33" spans="1:65">
      <c r="A33" s="3" t="s">
        <v>134</v>
      </c>
      <c r="B33" t="s">
        <v>135</v>
      </c>
      <c r="C33" t="s">
        <v>136</v>
      </c>
      <c r="D33" s="12">
        <v>1258.2</v>
      </c>
      <c r="E33" t="s">
        <v>74</v>
      </c>
      <c r="F33" t="s">
        <v>137</v>
      </c>
      <c r="G33" s="23">
        <v>0.82</v>
      </c>
      <c r="H33" t="s">
        <v>138</v>
      </c>
      <c r="I33" s="24">
        <v>1</v>
      </c>
      <c r="J33" s="24">
        <v>2</v>
      </c>
      <c r="K33" s="24">
        <v>2</v>
      </c>
      <c r="L33" s="24">
        <v>1</v>
      </c>
      <c r="M33" s="24">
        <v>1</v>
      </c>
      <c r="N33" s="24">
        <v>1</v>
      </c>
      <c r="O33" s="24">
        <v>1</v>
      </c>
      <c r="P33" s="24">
        <v>1</v>
      </c>
      <c r="Q33" s="24">
        <v>3</v>
      </c>
      <c r="R33" s="24">
        <v>1</v>
      </c>
      <c r="S33" s="24">
        <v>0</v>
      </c>
      <c r="T33" s="24">
        <v>1</v>
      </c>
      <c r="U33" s="24">
        <v>1</v>
      </c>
      <c r="V33" s="24">
        <v>0</v>
      </c>
      <c r="W33" s="24">
        <v>2</v>
      </c>
      <c r="X33" s="24">
        <v>2</v>
      </c>
      <c r="Y33" s="6" t="s">
        <v>76</v>
      </c>
      <c r="Z33" s="24">
        <v>1</v>
      </c>
      <c r="AA33" s="24">
        <v>0</v>
      </c>
      <c r="AB33" s="24">
        <v>1</v>
      </c>
      <c r="AC33" s="24">
        <v>1</v>
      </c>
      <c r="AD33" s="24">
        <v>1</v>
      </c>
      <c r="AE33" s="24">
        <v>2</v>
      </c>
      <c r="AF33" s="24">
        <v>2</v>
      </c>
      <c r="AG33" s="24">
        <v>1</v>
      </c>
      <c r="AH33" s="24">
        <v>2</v>
      </c>
      <c r="AI33" s="24">
        <v>1</v>
      </c>
      <c r="AJ33" s="24">
        <v>1</v>
      </c>
      <c r="AK33" s="24">
        <v>1</v>
      </c>
      <c r="AL33" s="24">
        <v>3</v>
      </c>
      <c r="AM33" s="6" t="s">
        <v>76</v>
      </c>
      <c r="AN33" s="24">
        <v>2</v>
      </c>
      <c r="AO33" s="24">
        <v>2</v>
      </c>
      <c r="AP33" s="6" t="s">
        <v>76</v>
      </c>
      <c r="AQ33" s="24">
        <v>2</v>
      </c>
      <c r="AR33" s="24">
        <v>1</v>
      </c>
      <c r="AS33" s="24">
        <v>0</v>
      </c>
      <c r="AT33" s="24">
        <v>0</v>
      </c>
      <c r="AU33" s="24">
        <v>2</v>
      </c>
      <c r="AV33" s="24">
        <v>1</v>
      </c>
      <c r="AW33" s="24">
        <v>0</v>
      </c>
      <c r="AX33" s="24">
        <v>3</v>
      </c>
      <c r="AY33" s="6" t="s">
        <v>76</v>
      </c>
      <c r="AZ33" s="24">
        <v>3</v>
      </c>
      <c r="BA33" s="24">
        <v>1</v>
      </c>
      <c r="BB33" s="24">
        <v>2</v>
      </c>
      <c r="BC33" s="24">
        <v>2</v>
      </c>
      <c r="BD33" s="24">
        <v>2</v>
      </c>
      <c r="BE33" s="24">
        <v>2</v>
      </c>
      <c r="BF33" s="24">
        <v>0</v>
      </c>
      <c r="BG33" s="13">
        <f>IFERROR(AVERAGE(I33:Y33),"–")</f>
        <v>1.25</v>
      </c>
      <c r="BH33" s="13">
        <f>IFERROR(AVERAGE(Z33:AM33),"–")</f>
        <v>1.3076923076923077</v>
      </c>
      <c r="BI33" s="13">
        <f>IFERROR(AVERAGE(AN33:AY33),"–")</f>
        <v>1.3</v>
      </c>
      <c r="BJ33" s="13">
        <f>IFERROR(AVERAGE(AZ33:BA33),"–")</f>
        <v>2.0</v>
      </c>
      <c r="BK33" s="13">
        <f>IFERROR(AVERAGE(BB33:BF33),"–")</f>
        <v>1.6</v>
      </c>
      <c r="BL33" s="14">
        <f>IFERROR(AVERAGE(I33:BF33),"–")</f>
        <v>1.3478260869565217</v>
      </c>
      <c r="BM33" s="11">
        <f>COUNTIF(I33:BF33,0)</f>
        <v>7</v>
      </c>
    </row>
    <row r="34" spans="1:65">
      <c r="A34" s="3" t="s">
        <v>134</v>
      </c>
      <c r="B34" t="s">
        <v>139</v>
      </c>
      <c r="C34" t="s">
        <v>140</v>
      </c>
      <c r="D34" s="12">
        <v>288.7</v>
      </c>
      <c r="E34" t="s">
        <v>74</v>
      </c>
      <c r="F34" t="s">
        <v>141</v>
      </c>
      <c r="G34" s="23">
        <v>0.84</v>
      </c>
      <c r="H34" t="s">
        <v>142</v>
      </c>
      <c r="I34" s="24">
        <v>1</v>
      </c>
      <c r="J34" s="24">
        <v>2</v>
      </c>
      <c r="K34" s="24">
        <v>2</v>
      </c>
      <c r="L34" s="24">
        <v>1</v>
      </c>
      <c r="M34" s="24">
        <v>1</v>
      </c>
      <c r="N34" s="24">
        <v>1</v>
      </c>
      <c r="O34" s="24">
        <v>1</v>
      </c>
      <c r="P34" s="24">
        <v>1</v>
      </c>
      <c r="Q34" s="24">
        <v>3</v>
      </c>
      <c r="R34" s="24">
        <v>1</v>
      </c>
      <c r="S34" s="24">
        <v>0</v>
      </c>
      <c r="T34" s="24">
        <v>1</v>
      </c>
      <c r="U34" s="24">
        <v>1</v>
      </c>
      <c r="V34" s="24">
        <v>0</v>
      </c>
      <c r="W34" s="24">
        <v>2</v>
      </c>
      <c r="X34" s="24">
        <v>2</v>
      </c>
      <c r="Y34" s="6" t="s">
        <v>76</v>
      </c>
      <c r="Z34" s="24">
        <v>1</v>
      </c>
      <c r="AA34" s="24">
        <v>0</v>
      </c>
      <c r="AB34" s="24">
        <v>1</v>
      </c>
      <c r="AC34" s="24">
        <v>1</v>
      </c>
      <c r="AD34" s="24">
        <v>1</v>
      </c>
      <c r="AE34" s="24">
        <v>2</v>
      </c>
      <c r="AF34" s="24">
        <v>2</v>
      </c>
      <c r="AG34" s="24">
        <v>1</v>
      </c>
      <c r="AH34" s="24">
        <v>2</v>
      </c>
      <c r="AI34" s="24">
        <v>1</v>
      </c>
      <c r="AJ34" s="24">
        <v>1</v>
      </c>
      <c r="AK34" s="24">
        <v>1</v>
      </c>
      <c r="AL34" s="24">
        <v>3</v>
      </c>
      <c r="AM34" s="6" t="s">
        <v>76</v>
      </c>
      <c r="AN34" s="24">
        <v>2</v>
      </c>
      <c r="AO34" s="24">
        <v>2</v>
      </c>
      <c r="AP34" s="6" t="s">
        <v>76</v>
      </c>
      <c r="AQ34" s="24">
        <v>2</v>
      </c>
      <c r="AR34" s="24">
        <v>1</v>
      </c>
      <c r="AS34" s="24">
        <v>0</v>
      </c>
      <c r="AT34" s="24">
        <v>0</v>
      </c>
      <c r="AU34" s="24">
        <v>2</v>
      </c>
      <c r="AV34" s="24">
        <v>1</v>
      </c>
      <c r="AW34" s="24">
        <v>0</v>
      </c>
      <c r="AX34" s="24">
        <v>3</v>
      </c>
      <c r="AY34" s="6" t="s">
        <v>76</v>
      </c>
      <c r="AZ34" s="24">
        <v>3</v>
      </c>
      <c r="BA34" s="24">
        <v>1</v>
      </c>
      <c r="BB34" s="24">
        <v>2</v>
      </c>
      <c r="BC34" s="24">
        <v>2</v>
      </c>
      <c r="BD34" s="24">
        <v>2</v>
      </c>
      <c r="BE34" s="24">
        <v>2</v>
      </c>
      <c r="BF34" s="24">
        <v>0</v>
      </c>
      <c r="BG34" s="13">
        <f>IFERROR(AVERAGE(I34:Y34),"–")</f>
        <v>1.25</v>
      </c>
      <c r="BH34" s="13">
        <f>IFERROR(AVERAGE(Z34:AM34),"–")</f>
        <v>1.3076923076923077</v>
      </c>
      <c r="BI34" s="13">
        <f>IFERROR(AVERAGE(AN34:AY34),"–")</f>
        <v>1.3</v>
      </c>
      <c r="BJ34" s="13">
        <f>IFERROR(AVERAGE(AZ34:BA34),"–")</f>
        <v>2.0</v>
      </c>
      <c r="BK34" s="13">
        <f>IFERROR(AVERAGE(BB34:BF34),"–")</f>
        <v>1.6</v>
      </c>
      <c r="BL34" s="14">
        <f>IFERROR(AVERAGE(I34:BF34),"–")</f>
        <v>1.3478260869565217</v>
      </c>
      <c r="BM34" s="11">
        <f>COUNTIF(I34:BF34,0)</f>
        <v>7</v>
      </c>
    </row>
    <row r="35" spans="1:65">
      <c r="A35" s="3" t="s">
        <v>134</v>
      </c>
      <c r="B35" t="s">
        <v>143</v>
      </c>
      <c r="C35" t="s">
        <v>144</v>
      </c>
      <c r="D35" s="12">
        <v>204.5</v>
      </c>
      <c r="E35" t="s">
        <v>74</v>
      </c>
      <c r="F35" t="s">
        <v>145</v>
      </c>
      <c r="G35" s="23">
        <v>0.83</v>
      </c>
      <c r="H35" t="s">
        <v>146</v>
      </c>
      <c r="I35" s="24">
        <v>1</v>
      </c>
      <c r="J35" s="24">
        <v>2</v>
      </c>
      <c r="K35" s="24">
        <v>2</v>
      </c>
      <c r="L35" s="24">
        <v>1</v>
      </c>
      <c r="M35" s="24">
        <v>1</v>
      </c>
      <c r="N35" s="24">
        <v>1</v>
      </c>
      <c r="O35" s="24">
        <v>1</v>
      </c>
      <c r="P35" s="24">
        <v>1</v>
      </c>
      <c r="Q35" s="24">
        <v>3</v>
      </c>
      <c r="R35" s="24">
        <v>1</v>
      </c>
      <c r="S35" s="24">
        <v>0</v>
      </c>
      <c r="T35" s="24">
        <v>1</v>
      </c>
      <c r="U35" s="24">
        <v>1</v>
      </c>
      <c r="V35" s="24">
        <v>0</v>
      </c>
      <c r="W35" s="24">
        <v>2</v>
      </c>
      <c r="X35" s="24">
        <v>2</v>
      </c>
      <c r="Y35" s="6" t="s">
        <v>76</v>
      </c>
      <c r="Z35" s="24">
        <v>1</v>
      </c>
      <c r="AA35" s="24">
        <v>0</v>
      </c>
      <c r="AB35" s="24">
        <v>1</v>
      </c>
      <c r="AC35" s="24">
        <v>1</v>
      </c>
      <c r="AD35" s="24">
        <v>1</v>
      </c>
      <c r="AE35" s="24">
        <v>1</v>
      </c>
      <c r="AF35" s="24">
        <v>2</v>
      </c>
      <c r="AG35" s="24">
        <v>1</v>
      </c>
      <c r="AH35" s="24">
        <v>2</v>
      </c>
      <c r="AI35" s="24">
        <v>1</v>
      </c>
      <c r="AJ35" s="24">
        <v>1</v>
      </c>
      <c r="AK35" s="24">
        <v>1</v>
      </c>
      <c r="AL35" s="24">
        <v>3</v>
      </c>
      <c r="AM35" s="6" t="s">
        <v>76</v>
      </c>
      <c r="AN35" s="24">
        <v>2</v>
      </c>
      <c r="AO35" s="24">
        <v>2</v>
      </c>
      <c r="AP35" s="6" t="s">
        <v>76</v>
      </c>
      <c r="AQ35" s="24">
        <v>2</v>
      </c>
      <c r="AR35" s="24">
        <v>1</v>
      </c>
      <c r="AS35" s="24">
        <v>0</v>
      </c>
      <c r="AT35" s="24">
        <v>0</v>
      </c>
      <c r="AU35" s="24">
        <v>2</v>
      </c>
      <c r="AV35" s="24">
        <v>1</v>
      </c>
      <c r="AW35" s="24">
        <v>0</v>
      </c>
      <c r="AX35" s="24">
        <v>3</v>
      </c>
      <c r="AY35" s="6" t="s">
        <v>76</v>
      </c>
      <c r="AZ35" s="24">
        <v>3</v>
      </c>
      <c r="BA35" s="24">
        <v>1</v>
      </c>
      <c r="BB35" s="24">
        <v>2</v>
      </c>
      <c r="BC35" s="24">
        <v>2</v>
      </c>
      <c r="BD35" s="24">
        <v>2</v>
      </c>
      <c r="BE35" s="24">
        <v>2</v>
      </c>
      <c r="BF35" s="24">
        <v>0</v>
      </c>
      <c r="BG35" s="13">
        <f>IFERROR(AVERAGE(I35:Y35),"–")</f>
        <v>1.25</v>
      </c>
      <c r="BH35" s="13">
        <f>IFERROR(AVERAGE(Z35:AM35),"–")</f>
        <v>1.2307692307692308</v>
      </c>
      <c r="BI35" s="13">
        <f>IFERROR(AVERAGE(AN35:AY35),"–")</f>
        <v>1.3</v>
      </c>
      <c r="BJ35" s="13">
        <f>IFERROR(AVERAGE(AZ35:BA35),"–")</f>
        <v>2.0</v>
      </c>
      <c r="BK35" s="13">
        <f>IFERROR(AVERAGE(BB35:BF35),"–")</f>
        <v>1.6</v>
      </c>
      <c r="BL35" s="14">
        <f>IFERROR(AVERAGE(I35:BF35),"–")</f>
        <v>1.326086956521739</v>
      </c>
      <c r="BM35" s="11">
        <f>COUNTIF(I35:BF35,0)</f>
        <v>7</v>
      </c>
    </row>
    <row r="36" spans="1:65">
      <c r="A36" s="3" t="s">
        <v>134</v>
      </c>
      <c r="B36" t="s">
        <v>147</v>
      </c>
      <c r="C36" t="s">
        <v>148</v>
      </c>
      <c r="D36" s="12">
        <v>169.4</v>
      </c>
      <c r="E36" t="s">
        <v>74</v>
      </c>
      <c r="F36" t="s">
        <v>145</v>
      </c>
      <c r="G36" s="23">
        <v>0.85</v>
      </c>
      <c r="H36" t="s">
        <v>146</v>
      </c>
      <c r="I36" s="24">
        <v>1</v>
      </c>
      <c r="J36" s="24">
        <v>2</v>
      </c>
      <c r="K36" s="24">
        <v>2</v>
      </c>
      <c r="L36" s="24">
        <v>1</v>
      </c>
      <c r="M36" s="24">
        <v>1</v>
      </c>
      <c r="N36" s="24">
        <v>1</v>
      </c>
      <c r="O36" s="24">
        <v>1</v>
      </c>
      <c r="P36" s="24">
        <v>1</v>
      </c>
      <c r="Q36" s="24">
        <v>3</v>
      </c>
      <c r="R36" s="24">
        <v>1</v>
      </c>
      <c r="S36" s="24">
        <v>0</v>
      </c>
      <c r="T36" s="24">
        <v>1</v>
      </c>
      <c r="U36" s="24">
        <v>1</v>
      </c>
      <c r="V36" s="24">
        <v>0</v>
      </c>
      <c r="W36" s="24">
        <v>2</v>
      </c>
      <c r="X36" s="24">
        <v>2</v>
      </c>
      <c r="Y36" s="6" t="s">
        <v>76</v>
      </c>
      <c r="Z36" s="24">
        <v>1</v>
      </c>
      <c r="AA36" s="24">
        <v>0</v>
      </c>
      <c r="AB36" s="24">
        <v>1</v>
      </c>
      <c r="AC36" s="24">
        <v>1</v>
      </c>
      <c r="AD36" s="24">
        <v>1</v>
      </c>
      <c r="AE36" s="24">
        <v>2</v>
      </c>
      <c r="AF36" s="24">
        <v>2</v>
      </c>
      <c r="AG36" s="24">
        <v>1</v>
      </c>
      <c r="AH36" s="24">
        <v>2</v>
      </c>
      <c r="AI36" s="24">
        <v>1</v>
      </c>
      <c r="AJ36" s="24">
        <v>1</v>
      </c>
      <c r="AK36" s="24">
        <v>1</v>
      </c>
      <c r="AL36" s="24">
        <v>3</v>
      </c>
      <c r="AM36" s="6" t="s">
        <v>76</v>
      </c>
      <c r="AN36" s="24">
        <v>2</v>
      </c>
      <c r="AO36" s="24">
        <v>2</v>
      </c>
      <c r="AP36" s="24">
        <v>1</v>
      </c>
      <c r="AQ36" s="24">
        <v>2</v>
      </c>
      <c r="AR36" s="24">
        <v>1</v>
      </c>
      <c r="AS36" s="24">
        <v>0</v>
      </c>
      <c r="AT36" s="24">
        <v>0</v>
      </c>
      <c r="AU36" s="24">
        <v>2</v>
      </c>
      <c r="AV36" s="24">
        <v>2</v>
      </c>
      <c r="AW36" s="24">
        <v>0</v>
      </c>
      <c r="AX36" s="24">
        <v>3</v>
      </c>
      <c r="AY36" s="6" t="s">
        <v>76</v>
      </c>
      <c r="AZ36" s="24">
        <v>3</v>
      </c>
      <c r="BA36" s="24">
        <v>1</v>
      </c>
      <c r="BB36" s="24">
        <v>2</v>
      </c>
      <c r="BC36" s="24">
        <v>2</v>
      </c>
      <c r="BD36" s="24">
        <v>2</v>
      </c>
      <c r="BE36" s="24">
        <v>2</v>
      </c>
      <c r="BF36" s="24">
        <v>0</v>
      </c>
      <c r="BG36" s="13">
        <f>IFERROR(AVERAGE(I36:Y36),"–")</f>
        <v>1.25</v>
      </c>
      <c r="BH36" s="13">
        <f>IFERROR(AVERAGE(Z36:AM36),"–")</f>
        <v>1.3076923076923077</v>
      </c>
      <c r="BI36" s="13">
        <f>IFERROR(AVERAGE(AN36:AY36),"–")</f>
        <v>1.3636363636363635</v>
      </c>
      <c r="BJ36" s="13">
        <f>IFERROR(AVERAGE(AZ36:BA36),"–")</f>
        <v>2.0</v>
      </c>
      <c r="BK36" s="13">
        <f>IFERROR(AVERAGE(BB36:BF36),"–")</f>
        <v>1.6</v>
      </c>
      <c r="BL36" s="14">
        <f>IFERROR(AVERAGE(I36:BF36),"–")</f>
        <v>1.3617021276595744</v>
      </c>
      <c r="BM36" s="11">
        <f>COUNTIF(I36:BF36,0)</f>
        <v>7</v>
      </c>
    </row>
    <row r="37" spans="1:65">
      <c r="A37" s="3" t="s">
        <v>149</v>
      </c>
      <c r="B37" t="s">
        <v>150</v>
      </c>
      <c r="C37" t="s">
        <v>151</v>
      </c>
      <c r="D37" s="12">
        <v>116.9</v>
      </c>
      <c r="E37" t="s">
        <v>74</v>
      </c>
      <c r="F37" t="s">
        <v>152</v>
      </c>
      <c r="G37" s="23">
        <v>0.34</v>
      </c>
      <c r="H37" t="s">
        <v>153</v>
      </c>
      <c r="I37" s="24">
        <v>1</v>
      </c>
      <c r="J37" s="24">
        <v>2</v>
      </c>
      <c r="K37" s="24">
        <v>2</v>
      </c>
      <c r="L37" s="24">
        <v>1</v>
      </c>
      <c r="M37" s="24">
        <v>1</v>
      </c>
      <c r="N37" s="24">
        <v>1</v>
      </c>
      <c r="O37" s="24">
        <v>1</v>
      </c>
      <c r="P37" s="24">
        <v>1</v>
      </c>
      <c r="Q37" s="24">
        <v>3</v>
      </c>
      <c r="R37" s="24">
        <v>1</v>
      </c>
      <c r="S37" s="24">
        <v>0</v>
      </c>
      <c r="T37" s="24">
        <v>1</v>
      </c>
      <c r="U37" s="24">
        <v>1</v>
      </c>
      <c r="V37" s="24">
        <v>0</v>
      </c>
      <c r="W37" s="24">
        <v>2</v>
      </c>
      <c r="X37" s="24">
        <v>2</v>
      </c>
      <c r="Y37" s="6" t="s">
        <v>76</v>
      </c>
      <c r="Z37" s="24">
        <v>1</v>
      </c>
      <c r="AA37" s="24">
        <v>0</v>
      </c>
      <c r="AB37" s="24">
        <v>1</v>
      </c>
      <c r="AC37" s="24">
        <v>2</v>
      </c>
      <c r="AD37" s="24">
        <v>1</v>
      </c>
      <c r="AE37" s="24">
        <v>2</v>
      </c>
      <c r="AF37" s="24">
        <v>2</v>
      </c>
      <c r="AG37" s="24">
        <v>1</v>
      </c>
      <c r="AH37" s="24">
        <v>2</v>
      </c>
      <c r="AI37" s="24">
        <v>1</v>
      </c>
      <c r="AJ37" s="24">
        <v>1</v>
      </c>
      <c r="AK37" s="24">
        <v>1</v>
      </c>
      <c r="AL37" s="24">
        <v>3</v>
      </c>
      <c r="AM37" s="6" t="s">
        <v>76</v>
      </c>
      <c r="AN37" s="24">
        <v>2</v>
      </c>
      <c r="AO37" s="24">
        <v>2</v>
      </c>
      <c r="AP37" s="6" t="s">
        <v>76</v>
      </c>
      <c r="AQ37" s="24">
        <v>2</v>
      </c>
      <c r="AR37" s="24">
        <v>2</v>
      </c>
      <c r="AS37" s="24">
        <v>0</v>
      </c>
      <c r="AT37" s="24">
        <v>0</v>
      </c>
      <c r="AU37" s="24">
        <v>2</v>
      </c>
      <c r="AV37" s="24">
        <v>1</v>
      </c>
      <c r="AW37" s="24">
        <v>0</v>
      </c>
      <c r="AX37" s="24">
        <v>3</v>
      </c>
      <c r="AY37" s="6" t="s">
        <v>76</v>
      </c>
      <c r="AZ37" s="24">
        <v>3</v>
      </c>
      <c r="BA37" s="24">
        <v>1</v>
      </c>
      <c r="BB37" s="24">
        <v>2</v>
      </c>
      <c r="BC37" s="24">
        <v>2</v>
      </c>
      <c r="BD37" s="24">
        <v>2</v>
      </c>
      <c r="BE37" s="24">
        <v>2</v>
      </c>
      <c r="BF37" s="24">
        <v>0</v>
      </c>
      <c r="BG37" s="13">
        <f>IFERROR(AVERAGE(I37:Y37),"–")</f>
        <v>1.25</v>
      </c>
      <c r="BH37" s="13">
        <f>IFERROR(AVERAGE(Z37:AM37),"–")</f>
        <v>1.3846153846153846</v>
      </c>
      <c r="BI37" s="13">
        <f>IFERROR(AVERAGE(AN37:AY37),"–")</f>
        <v>1.4</v>
      </c>
      <c r="BJ37" s="13">
        <f>IFERROR(AVERAGE(AZ37:BA37),"–")</f>
        <v>2.0</v>
      </c>
      <c r="BK37" s="13">
        <f>IFERROR(AVERAGE(BB37:BF37),"–")</f>
        <v>1.6</v>
      </c>
      <c r="BL37" s="14">
        <f>IFERROR(AVERAGE(I37:BF37),"–")</f>
        <v>1.391304347826087</v>
      </c>
      <c r="BM37" s="11">
        <f>COUNTIF(I37:BF37,0)</f>
        <v>7</v>
      </c>
    </row>
    <row r="38" spans="1:65">
      <c r="A38" s="3" t="s">
        <v>149</v>
      </c>
      <c r="B38" t="s">
        <v>154</v>
      </c>
      <c r="C38" t="s">
        <v>155</v>
      </c>
      <c r="D38" s="12">
        <v>30.3</v>
      </c>
      <c r="E38" t="s">
        <v>74</v>
      </c>
      <c r="F38" t="s">
        <v>152</v>
      </c>
      <c r="G38" s="23">
        <v>0.33</v>
      </c>
      <c r="H38" t="s">
        <v>153</v>
      </c>
      <c r="I38" s="24">
        <v>1</v>
      </c>
      <c r="J38" s="24">
        <v>2</v>
      </c>
      <c r="K38" s="24">
        <v>2</v>
      </c>
      <c r="L38" s="24">
        <v>1</v>
      </c>
      <c r="M38" s="24">
        <v>1</v>
      </c>
      <c r="N38" s="24">
        <v>1</v>
      </c>
      <c r="O38" s="24">
        <v>1</v>
      </c>
      <c r="P38" s="24">
        <v>1</v>
      </c>
      <c r="Q38" s="24">
        <v>3</v>
      </c>
      <c r="R38" s="24">
        <v>1</v>
      </c>
      <c r="S38" s="24">
        <v>0</v>
      </c>
      <c r="T38" s="24">
        <v>1</v>
      </c>
      <c r="U38" s="24">
        <v>1</v>
      </c>
      <c r="V38" s="24">
        <v>0</v>
      </c>
      <c r="W38" s="24">
        <v>2</v>
      </c>
      <c r="X38" s="24">
        <v>2</v>
      </c>
      <c r="Y38" s="6" t="s">
        <v>76</v>
      </c>
      <c r="Z38" s="24">
        <v>1</v>
      </c>
      <c r="AA38" s="24">
        <v>0</v>
      </c>
      <c r="AB38" s="24">
        <v>1</v>
      </c>
      <c r="AC38" s="24">
        <v>2</v>
      </c>
      <c r="AD38" s="24">
        <v>1</v>
      </c>
      <c r="AE38" s="24">
        <v>2</v>
      </c>
      <c r="AF38" s="24">
        <v>2</v>
      </c>
      <c r="AG38" s="24">
        <v>1</v>
      </c>
      <c r="AH38" s="24">
        <v>2</v>
      </c>
      <c r="AI38" s="24">
        <v>1</v>
      </c>
      <c r="AJ38" s="24">
        <v>1</v>
      </c>
      <c r="AK38" s="24">
        <v>1</v>
      </c>
      <c r="AL38" s="24">
        <v>3</v>
      </c>
      <c r="AM38" s="6" t="s">
        <v>76</v>
      </c>
      <c r="AN38" s="24">
        <v>2</v>
      </c>
      <c r="AO38" s="24">
        <v>2</v>
      </c>
      <c r="AP38" s="24">
        <v>1</v>
      </c>
      <c r="AQ38" s="24">
        <v>2</v>
      </c>
      <c r="AR38" s="24">
        <v>2</v>
      </c>
      <c r="AS38" s="24">
        <v>0</v>
      </c>
      <c r="AT38" s="24">
        <v>0</v>
      </c>
      <c r="AU38" s="24">
        <v>2</v>
      </c>
      <c r="AV38" s="24">
        <v>2</v>
      </c>
      <c r="AW38" s="24">
        <v>0</v>
      </c>
      <c r="AX38" s="24">
        <v>3</v>
      </c>
      <c r="AY38" s="6" t="s">
        <v>76</v>
      </c>
      <c r="AZ38" s="24">
        <v>3</v>
      </c>
      <c r="BA38" s="24">
        <v>1</v>
      </c>
      <c r="BB38" s="24">
        <v>2</v>
      </c>
      <c r="BC38" s="24">
        <v>2</v>
      </c>
      <c r="BD38" s="24">
        <v>2</v>
      </c>
      <c r="BE38" s="24">
        <v>2</v>
      </c>
      <c r="BF38" s="24">
        <v>0</v>
      </c>
      <c r="BG38" s="13">
        <f>IFERROR(AVERAGE(I38:Y38),"–")</f>
        <v>1.25</v>
      </c>
      <c r="BH38" s="13">
        <f>IFERROR(AVERAGE(Z38:AM38),"–")</f>
        <v>1.3846153846153846</v>
      </c>
      <c r="BI38" s="13">
        <f>IFERROR(AVERAGE(AN38:AY38),"–")</f>
        <v>1.4545454545454546</v>
      </c>
      <c r="BJ38" s="13">
        <f>IFERROR(AVERAGE(AZ38:BA38),"–")</f>
        <v>2.0</v>
      </c>
      <c r="BK38" s="13">
        <f>IFERROR(AVERAGE(BB38:BF38),"–")</f>
        <v>1.6</v>
      </c>
      <c r="BL38" s="14">
        <f>IFERROR(AVERAGE(I38:BF38),"–")</f>
        <v>1.4042553191489362</v>
      </c>
      <c r="BM38" s="11">
        <f>COUNTIF(I38:BF38,0)</f>
        <v>7</v>
      </c>
    </row>
    <row r="39" spans="1:65">
      <c r="A39" s="3" t="s">
        <v>156</v>
      </c>
      <c r="B39" t="s">
        <v>157</v>
      </c>
      <c r="C39" t="s">
        <v>158</v>
      </c>
      <c r="D39" s="12">
        <v>6109.4</v>
      </c>
      <c r="E39" t="s">
        <v>159</v>
      </c>
      <c r="F39" t="s">
        <v>160</v>
      </c>
      <c r="G39" s="23">
        <v>1</v>
      </c>
      <c r="I39" s="6" t="s">
        <v>76</v>
      </c>
      <c r="J39" s="6" t="s">
        <v>76</v>
      </c>
      <c r="K39" s="6" t="s">
        <v>76</v>
      </c>
      <c r="L39" s="6" t="s">
        <v>76</v>
      </c>
      <c r="M39" s="6" t="s">
        <v>76</v>
      </c>
      <c r="N39" s="6" t="s">
        <v>76</v>
      </c>
      <c r="O39" s="6" t="s">
        <v>76</v>
      </c>
      <c r="P39" s="6" t="s">
        <v>76</v>
      </c>
      <c r="Q39" s="6" t="s">
        <v>76</v>
      </c>
      <c r="R39" s="6" t="s">
        <v>76</v>
      </c>
      <c r="S39" s="6" t="s">
        <v>76</v>
      </c>
      <c r="T39" s="6" t="s">
        <v>76</v>
      </c>
      <c r="U39" s="6" t="s">
        <v>76</v>
      </c>
      <c r="V39" s="6" t="s">
        <v>76</v>
      </c>
      <c r="W39" s="6" t="s">
        <v>76</v>
      </c>
      <c r="X39" s="6" t="s">
        <v>76</v>
      </c>
      <c r="Y39" s="24">
        <v>0</v>
      </c>
      <c r="Z39" s="6" t="s">
        <v>76</v>
      </c>
      <c r="AA39" s="6" t="s">
        <v>76</v>
      </c>
      <c r="AB39" s="6" t="s">
        <v>76</v>
      </c>
      <c r="AC39" s="6" t="s">
        <v>76</v>
      </c>
      <c r="AD39" s="6" t="s">
        <v>76</v>
      </c>
      <c r="AE39" s="6" t="s">
        <v>76</v>
      </c>
      <c r="AF39" s="6" t="s">
        <v>76</v>
      </c>
      <c r="AG39" s="6" t="s">
        <v>76</v>
      </c>
      <c r="AH39" s="6" t="s">
        <v>76</v>
      </c>
      <c r="AI39" s="6" t="s">
        <v>76</v>
      </c>
      <c r="AJ39" s="6" t="s">
        <v>76</v>
      </c>
      <c r="AK39" s="6" t="s">
        <v>76</v>
      </c>
      <c r="AL39" s="6" t="s">
        <v>76</v>
      </c>
      <c r="AM39" s="6" t="s">
        <v>76</v>
      </c>
      <c r="AN39" s="24">
        <v>2</v>
      </c>
      <c r="AO39" s="24">
        <v>2</v>
      </c>
      <c r="AP39" s="6" t="s">
        <v>76</v>
      </c>
      <c r="AQ39" s="24">
        <v>0</v>
      </c>
      <c r="AR39" s="24">
        <v>1</v>
      </c>
      <c r="AS39" s="24">
        <v>0</v>
      </c>
      <c r="AT39" s="24">
        <v>0</v>
      </c>
      <c r="AU39" s="6" t="s">
        <v>76</v>
      </c>
      <c r="AV39" s="6" t="s">
        <v>76</v>
      </c>
      <c r="AW39" s="6" t="s">
        <v>76</v>
      </c>
      <c r="AX39" s="6" t="s">
        <v>76</v>
      </c>
      <c r="AY39" s="24">
        <v>0</v>
      </c>
      <c r="AZ39" s="6" t="s">
        <v>76</v>
      </c>
      <c r="BA39" s="6" t="s">
        <v>76</v>
      </c>
      <c r="BB39" s="24">
        <v>2</v>
      </c>
      <c r="BC39" s="24">
        <v>2</v>
      </c>
      <c r="BD39" s="24">
        <v>2</v>
      </c>
      <c r="BE39" s="24">
        <v>2</v>
      </c>
      <c r="BF39" s="24">
        <v>0</v>
      </c>
      <c r="BG39" s="13">
        <f>IFERROR(AVERAGE(I39:Y39),"–")</f>
        <v>0.0</v>
      </c>
      <c r="BH39" s="13" t="str">
        <f>IFERROR(AVERAGE(Z39:AM39),"–")</f>
        <v>–</v>
      </c>
      <c r="BI39" s="13">
        <f>IFERROR(AVERAGE(AN39:AY39),"–")</f>
        <v>0.7142857142857143</v>
      </c>
      <c r="BJ39" s="13" t="str">
        <f>IFERROR(AVERAGE(AZ39:BA39),"–")</f>
        <v>–</v>
      </c>
      <c r="BK39" s="13">
        <f>IFERROR(AVERAGE(BB39:BF39),"–")</f>
        <v>1.6</v>
      </c>
      <c r="BL39" s="14">
        <f>IFERROR(AVERAGE(I39:BF39),"–")</f>
        <v>1.0</v>
      </c>
      <c r="BM39" s="11">
        <f>COUNTIF(I39:BF39,0)</f>
        <v>6</v>
      </c>
    </row>
    <row r="40" spans="1:65">
      <c r="A40" s="3" t="s">
        <v>156</v>
      </c>
      <c r="B40" t="s">
        <v>161</v>
      </c>
      <c r="C40" t="s">
        <v>162</v>
      </c>
      <c r="D40" s="12">
        <v>0</v>
      </c>
      <c r="E40" t="s">
        <v>159</v>
      </c>
      <c r="F40" t="s">
        <v>160</v>
      </c>
      <c r="G40" s="23">
        <v>0.88</v>
      </c>
      <c r="I40" s="6" t="s">
        <v>76</v>
      </c>
      <c r="J40" s="6" t="s">
        <v>76</v>
      </c>
      <c r="K40" s="6" t="s">
        <v>76</v>
      </c>
      <c r="L40" s="6" t="s">
        <v>76</v>
      </c>
      <c r="M40" s="6" t="s">
        <v>76</v>
      </c>
      <c r="N40" s="6" t="s">
        <v>76</v>
      </c>
      <c r="O40" s="6" t="s">
        <v>76</v>
      </c>
      <c r="P40" s="6" t="s">
        <v>76</v>
      </c>
      <c r="Q40" s="6" t="s">
        <v>76</v>
      </c>
      <c r="R40" s="6" t="s">
        <v>76</v>
      </c>
      <c r="S40" s="6" t="s">
        <v>76</v>
      </c>
      <c r="T40" s="6" t="s">
        <v>76</v>
      </c>
      <c r="U40" s="6" t="s">
        <v>76</v>
      </c>
      <c r="V40" s="6" t="s">
        <v>76</v>
      </c>
      <c r="W40" s="6" t="s">
        <v>76</v>
      </c>
      <c r="X40" s="6" t="s">
        <v>76</v>
      </c>
      <c r="Y40" s="24">
        <v>0</v>
      </c>
      <c r="Z40" s="6" t="s">
        <v>76</v>
      </c>
      <c r="AA40" s="6" t="s">
        <v>76</v>
      </c>
      <c r="AB40" s="6" t="s">
        <v>76</v>
      </c>
      <c r="AC40" s="6" t="s">
        <v>76</v>
      </c>
      <c r="AD40" s="6" t="s">
        <v>76</v>
      </c>
      <c r="AE40" s="6" t="s">
        <v>76</v>
      </c>
      <c r="AF40" s="6" t="s">
        <v>76</v>
      </c>
      <c r="AG40" s="6" t="s">
        <v>76</v>
      </c>
      <c r="AH40" s="6" t="s">
        <v>76</v>
      </c>
      <c r="AI40" s="6" t="s">
        <v>76</v>
      </c>
      <c r="AJ40" s="6" t="s">
        <v>76</v>
      </c>
      <c r="AK40" s="6" t="s">
        <v>76</v>
      </c>
      <c r="AL40" s="6" t="s">
        <v>76</v>
      </c>
      <c r="AM40" s="6" t="s">
        <v>76</v>
      </c>
      <c r="AN40" s="24">
        <v>2</v>
      </c>
      <c r="AO40" s="24">
        <v>2</v>
      </c>
      <c r="AP40" s="6" t="s">
        <v>76</v>
      </c>
      <c r="AQ40" s="24">
        <v>1</v>
      </c>
      <c r="AR40" s="24">
        <v>1</v>
      </c>
      <c r="AS40" s="24">
        <v>0</v>
      </c>
      <c r="AT40" s="24">
        <v>0</v>
      </c>
      <c r="AU40" s="6" t="s">
        <v>76</v>
      </c>
      <c r="AV40" s="6" t="s">
        <v>76</v>
      </c>
      <c r="AW40" s="6" t="s">
        <v>76</v>
      </c>
      <c r="AX40" s="24">
        <v>3</v>
      </c>
      <c r="AY40" s="24">
        <v>0</v>
      </c>
      <c r="AZ40" s="24">
        <v>3</v>
      </c>
      <c r="BA40" s="24">
        <v>0</v>
      </c>
      <c r="BB40" s="24">
        <v>2</v>
      </c>
      <c r="BC40" s="24">
        <v>2</v>
      </c>
      <c r="BD40" s="24">
        <v>2</v>
      </c>
      <c r="BE40" s="24">
        <v>2</v>
      </c>
      <c r="BF40" s="24">
        <v>0</v>
      </c>
      <c r="BG40" s="13">
        <f>IFERROR(AVERAGE(I40:Y40),"–")</f>
        <v>0.0</v>
      </c>
      <c r="BH40" s="13" t="str">
        <f>IFERROR(AVERAGE(Z40:AM40),"–")</f>
        <v>–</v>
      </c>
      <c r="BI40" s="13">
        <f>IFERROR(AVERAGE(AN40:AY40),"–")</f>
        <v>1.125</v>
      </c>
      <c r="BJ40" s="13">
        <f>IFERROR(AVERAGE(AZ40:BA40),"–")</f>
        <v>1.5</v>
      </c>
      <c r="BK40" s="13">
        <f>IFERROR(AVERAGE(BB40:BF40),"–")</f>
        <v>1.6</v>
      </c>
      <c r="BL40" s="14">
        <f>IFERROR(AVERAGE(I40:BF40),"–")</f>
        <v>1.25</v>
      </c>
      <c r="BM40" s="11">
        <f>COUNTIF(I40:BF40,0)</f>
        <v>6</v>
      </c>
    </row>
    <row r="41" spans="1:65">
      <c r="A41" s="3" t="s">
        <v>163</v>
      </c>
      <c r="B41" t="s">
        <v>164</v>
      </c>
      <c r="C41" t="s">
        <v>165</v>
      </c>
      <c r="D41" s="12">
        <v>735.3</v>
      </c>
      <c r="E41" t="s">
        <v>74</v>
      </c>
      <c r="F41" t="s">
        <v>160</v>
      </c>
      <c r="G41" s="23">
        <v>0.29</v>
      </c>
      <c r="H41" t="s">
        <v>166</v>
      </c>
      <c r="I41" s="24">
        <v>0</v>
      </c>
      <c r="J41" s="24">
        <v>2</v>
      </c>
      <c r="K41" s="24">
        <v>2</v>
      </c>
      <c r="L41" s="24">
        <v>0</v>
      </c>
      <c r="M41" s="24">
        <v>0</v>
      </c>
      <c r="N41" s="24">
        <v>0</v>
      </c>
      <c r="O41" s="24">
        <v>0</v>
      </c>
      <c r="P41" s="24">
        <v>0</v>
      </c>
      <c r="Q41" s="24">
        <v>3</v>
      </c>
      <c r="R41" s="24">
        <v>1</v>
      </c>
      <c r="S41" s="24">
        <v>0</v>
      </c>
      <c r="T41" s="24">
        <v>1</v>
      </c>
      <c r="U41" s="24">
        <v>0</v>
      </c>
      <c r="V41" s="24">
        <v>0</v>
      </c>
      <c r="W41" s="24">
        <v>2</v>
      </c>
      <c r="X41" s="24">
        <v>2</v>
      </c>
      <c r="Y41" s="6" t="s">
        <v>76</v>
      </c>
      <c r="Z41" s="24">
        <v>0</v>
      </c>
      <c r="AA41" s="24">
        <v>0</v>
      </c>
      <c r="AB41" s="24">
        <v>1</v>
      </c>
      <c r="AC41" s="24">
        <v>2</v>
      </c>
      <c r="AD41" s="24">
        <v>1</v>
      </c>
      <c r="AE41" s="24">
        <v>2</v>
      </c>
      <c r="AF41" s="24">
        <v>2</v>
      </c>
      <c r="AG41" s="24">
        <v>1</v>
      </c>
      <c r="AH41" s="24">
        <v>2</v>
      </c>
      <c r="AI41" s="24">
        <v>0</v>
      </c>
      <c r="AJ41" s="24">
        <v>1</v>
      </c>
      <c r="AK41" s="24">
        <v>1</v>
      </c>
      <c r="AL41" s="24">
        <v>3</v>
      </c>
      <c r="AM41" s="6" t="s">
        <v>76</v>
      </c>
      <c r="AN41" s="24">
        <v>2</v>
      </c>
      <c r="AO41" s="24">
        <v>2</v>
      </c>
      <c r="AP41" s="24">
        <v>1</v>
      </c>
      <c r="AQ41" s="24">
        <v>2</v>
      </c>
      <c r="AR41" s="24">
        <v>2</v>
      </c>
      <c r="AS41" s="24">
        <v>0</v>
      </c>
      <c r="AT41" s="24">
        <v>0</v>
      </c>
      <c r="AU41" s="24">
        <v>2</v>
      </c>
      <c r="AV41" s="24">
        <v>2</v>
      </c>
      <c r="AW41" s="24">
        <v>0</v>
      </c>
      <c r="AX41" s="24">
        <v>3</v>
      </c>
      <c r="AY41" s="6" t="s">
        <v>76</v>
      </c>
      <c r="AZ41" s="24">
        <v>3</v>
      </c>
      <c r="BA41" s="24">
        <v>0</v>
      </c>
      <c r="BB41" s="24">
        <v>2</v>
      </c>
      <c r="BC41" s="24">
        <v>2</v>
      </c>
      <c r="BD41" s="24">
        <v>2</v>
      </c>
      <c r="BE41" s="24">
        <v>2</v>
      </c>
      <c r="BF41" s="24">
        <v>0</v>
      </c>
      <c r="BG41" s="13">
        <f>IFERROR(AVERAGE(I41:Y41),"–")</f>
        <v>0.8125</v>
      </c>
      <c r="BH41" s="13">
        <f>IFERROR(AVERAGE(Z41:AM41),"–")</f>
        <v>1.2307692307692308</v>
      </c>
      <c r="BI41" s="13">
        <f>IFERROR(AVERAGE(AN41:AY41),"–")</f>
        <v>1.4545454545454546</v>
      </c>
      <c r="BJ41" s="13">
        <f>IFERROR(AVERAGE(AZ41:BA41),"–")</f>
        <v>1.5</v>
      </c>
      <c r="BK41" s="13">
        <f>IFERROR(AVERAGE(BB41:BF41),"–")</f>
        <v>1.6</v>
      </c>
      <c r="BL41" s="14">
        <f>IFERROR(AVERAGE(I41:BF41),"–")</f>
        <v>1.1914893617021276</v>
      </c>
      <c r="BM41" s="11">
        <f>COUNTIF(I41:BF41,0)</f>
        <v>17</v>
      </c>
    </row>
    <row r="42" spans="1:65">
      <c r="A42" s="3" t="s">
        <v>163</v>
      </c>
      <c r="B42" t="s">
        <v>167</v>
      </c>
      <c r="C42" t="s">
        <v>168</v>
      </c>
      <c r="D42" s="12">
        <v>351.7</v>
      </c>
      <c r="E42" t="s">
        <v>74</v>
      </c>
      <c r="F42" t="s">
        <v>160</v>
      </c>
      <c r="G42" s="23">
        <v>0.49</v>
      </c>
      <c r="I42" s="24">
        <v>0</v>
      </c>
      <c r="J42" s="24">
        <v>2</v>
      </c>
      <c r="K42" s="24">
        <v>2</v>
      </c>
      <c r="L42" s="24">
        <v>0</v>
      </c>
      <c r="M42" s="24">
        <v>0</v>
      </c>
      <c r="N42" s="24">
        <v>0</v>
      </c>
      <c r="O42" s="24">
        <v>0</v>
      </c>
      <c r="P42" s="24">
        <v>0</v>
      </c>
      <c r="Q42" s="24">
        <v>3</v>
      </c>
      <c r="R42" s="24">
        <v>1</v>
      </c>
      <c r="S42" s="24">
        <v>0</v>
      </c>
      <c r="T42" s="24">
        <v>1</v>
      </c>
      <c r="U42" s="24">
        <v>0</v>
      </c>
      <c r="V42" s="24">
        <v>0</v>
      </c>
      <c r="W42" s="24">
        <v>2</v>
      </c>
      <c r="X42" s="24">
        <v>2</v>
      </c>
      <c r="Y42" s="6" t="s">
        <v>76</v>
      </c>
      <c r="Z42" s="24">
        <v>0</v>
      </c>
      <c r="AA42" s="24">
        <v>0</v>
      </c>
      <c r="AB42" s="24">
        <v>1</v>
      </c>
      <c r="AC42" s="24">
        <v>1</v>
      </c>
      <c r="AD42" s="24">
        <v>1</v>
      </c>
      <c r="AE42" s="24">
        <v>2</v>
      </c>
      <c r="AF42" s="24">
        <v>2</v>
      </c>
      <c r="AG42" s="24">
        <v>1</v>
      </c>
      <c r="AH42" s="24">
        <v>2</v>
      </c>
      <c r="AI42" s="24">
        <v>0</v>
      </c>
      <c r="AJ42" s="24">
        <v>1</v>
      </c>
      <c r="AK42" s="24">
        <v>1</v>
      </c>
      <c r="AL42" s="24">
        <v>3</v>
      </c>
      <c r="AM42" s="6" t="s">
        <v>76</v>
      </c>
      <c r="AN42" s="24">
        <v>2</v>
      </c>
      <c r="AO42" s="24">
        <v>2</v>
      </c>
      <c r="AP42" s="6" t="s">
        <v>76</v>
      </c>
      <c r="AQ42" s="24">
        <v>2</v>
      </c>
      <c r="AR42" s="24">
        <v>2</v>
      </c>
      <c r="AS42" s="24">
        <v>0</v>
      </c>
      <c r="AT42" s="24">
        <v>0</v>
      </c>
      <c r="AU42" s="6" t="s">
        <v>76</v>
      </c>
      <c r="AV42" s="24">
        <v>1</v>
      </c>
      <c r="AW42" s="24">
        <v>0</v>
      </c>
      <c r="AX42" s="24">
        <v>3</v>
      </c>
      <c r="AY42" s="6" t="s">
        <v>76</v>
      </c>
      <c r="AZ42" s="24">
        <v>3</v>
      </c>
      <c r="BA42" s="24">
        <v>0</v>
      </c>
      <c r="BB42" s="24">
        <v>2</v>
      </c>
      <c r="BC42" s="24">
        <v>2</v>
      </c>
      <c r="BD42" s="24">
        <v>2</v>
      </c>
      <c r="BE42" s="24">
        <v>2</v>
      </c>
      <c r="BF42" s="24">
        <v>0</v>
      </c>
      <c r="BG42" s="13">
        <f>IFERROR(AVERAGE(I42:Y42),"–")</f>
        <v>0.8125</v>
      </c>
      <c r="BH42" s="13">
        <f>IFERROR(AVERAGE(Z42:AM42),"–")</f>
        <v>1.1538461538461537</v>
      </c>
      <c r="BI42" s="13">
        <f>IFERROR(AVERAGE(AN42:AY42),"–")</f>
        <v>1.3333333333333333</v>
      </c>
      <c r="BJ42" s="13">
        <f>IFERROR(AVERAGE(AZ42:BA42),"–")</f>
        <v>1.5</v>
      </c>
      <c r="BK42" s="13">
        <f>IFERROR(AVERAGE(BB42:BF42),"–")</f>
        <v>1.6</v>
      </c>
      <c r="BL42" s="14">
        <f>IFERROR(AVERAGE(I42:BF42),"–")</f>
        <v>1.1333333333333333</v>
      </c>
      <c r="BM42" s="11">
        <f>COUNTIF(I42:BF42,0)</f>
        <v>17</v>
      </c>
    </row>
    <row r="43" spans="1:65">
      <c r="A43" s="3" t="s">
        <v>163</v>
      </c>
      <c r="B43" t="s">
        <v>169</v>
      </c>
      <c r="C43" t="s">
        <v>170</v>
      </c>
      <c r="D43" s="12">
        <v>0</v>
      </c>
      <c r="E43" t="s">
        <v>74</v>
      </c>
      <c r="F43" t="s">
        <v>160</v>
      </c>
      <c r="G43" s="23">
        <v>0.49</v>
      </c>
      <c r="I43" s="24">
        <v>0</v>
      </c>
      <c r="J43" s="24">
        <v>2</v>
      </c>
      <c r="K43" s="24">
        <v>2</v>
      </c>
      <c r="L43" s="24">
        <v>0</v>
      </c>
      <c r="M43" s="24">
        <v>0</v>
      </c>
      <c r="N43" s="24">
        <v>0</v>
      </c>
      <c r="O43" s="24">
        <v>0</v>
      </c>
      <c r="P43" s="24">
        <v>0</v>
      </c>
      <c r="Q43" s="24">
        <v>3</v>
      </c>
      <c r="R43" s="24">
        <v>1</v>
      </c>
      <c r="S43" s="24">
        <v>0</v>
      </c>
      <c r="T43" s="24">
        <v>1</v>
      </c>
      <c r="U43" s="24">
        <v>0</v>
      </c>
      <c r="V43" s="24">
        <v>0</v>
      </c>
      <c r="W43" s="24">
        <v>2</v>
      </c>
      <c r="X43" s="24">
        <v>2</v>
      </c>
      <c r="Y43" s="6" t="s">
        <v>76</v>
      </c>
      <c r="Z43" s="24">
        <v>0</v>
      </c>
      <c r="AA43" s="24">
        <v>0</v>
      </c>
      <c r="AB43" s="24">
        <v>1</v>
      </c>
      <c r="AC43" s="24">
        <v>1</v>
      </c>
      <c r="AD43" s="24">
        <v>1</v>
      </c>
      <c r="AE43" s="24">
        <v>2</v>
      </c>
      <c r="AF43" s="24">
        <v>2</v>
      </c>
      <c r="AG43" s="24">
        <v>1</v>
      </c>
      <c r="AH43" s="24">
        <v>2</v>
      </c>
      <c r="AI43" s="24">
        <v>0</v>
      </c>
      <c r="AJ43" s="24">
        <v>1</v>
      </c>
      <c r="AK43" s="24">
        <v>1</v>
      </c>
      <c r="AL43" s="24">
        <v>3</v>
      </c>
      <c r="AM43" s="6" t="s">
        <v>76</v>
      </c>
      <c r="AN43" s="24">
        <v>2</v>
      </c>
      <c r="AO43" s="24">
        <v>2</v>
      </c>
      <c r="AP43" s="6" t="s">
        <v>76</v>
      </c>
      <c r="AQ43" s="24">
        <v>2</v>
      </c>
      <c r="AR43" s="24">
        <v>2</v>
      </c>
      <c r="AS43" s="24">
        <v>0</v>
      </c>
      <c r="AT43" s="24">
        <v>0</v>
      </c>
      <c r="AU43" s="6" t="s">
        <v>76</v>
      </c>
      <c r="AV43" s="24">
        <v>1</v>
      </c>
      <c r="AW43" s="24">
        <v>0</v>
      </c>
      <c r="AX43" s="24">
        <v>3</v>
      </c>
      <c r="AY43" s="6" t="s">
        <v>76</v>
      </c>
      <c r="AZ43" s="24">
        <v>3</v>
      </c>
      <c r="BA43" s="24">
        <v>0</v>
      </c>
      <c r="BB43" s="24">
        <v>2</v>
      </c>
      <c r="BC43" s="24">
        <v>2</v>
      </c>
      <c r="BD43" s="24">
        <v>2</v>
      </c>
      <c r="BE43" s="24">
        <v>2</v>
      </c>
      <c r="BF43" s="24">
        <v>0</v>
      </c>
      <c r="BG43" s="13">
        <f>IFERROR(AVERAGE(I43:Y43),"–")</f>
        <v>0.8125</v>
      </c>
      <c r="BH43" s="13">
        <f>IFERROR(AVERAGE(Z43:AM43),"–")</f>
        <v>1.1538461538461537</v>
      </c>
      <c r="BI43" s="13">
        <f>IFERROR(AVERAGE(AN43:AY43),"–")</f>
        <v>1.3333333333333333</v>
      </c>
      <c r="BJ43" s="13">
        <f>IFERROR(AVERAGE(AZ43:BA43),"–")</f>
        <v>1.5</v>
      </c>
      <c r="BK43" s="13">
        <f>IFERROR(AVERAGE(BB43:BF43),"–")</f>
        <v>1.6</v>
      </c>
      <c r="BL43" s="14">
        <f>IFERROR(AVERAGE(I43:BF43),"–")</f>
        <v>1.1333333333333333</v>
      </c>
      <c r="BM43" s="11">
        <f>COUNTIF(I43:BF43,0)</f>
        <v>17</v>
      </c>
    </row>
    <row r="44" spans="1:65">
      <c r="A44" s="3" t="s">
        <v>163</v>
      </c>
      <c r="B44" t="s">
        <v>171</v>
      </c>
      <c r="C44" t="s">
        <v>172</v>
      </c>
      <c r="D44" s="12">
        <v>0</v>
      </c>
      <c r="E44" t="s">
        <v>74</v>
      </c>
      <c r="F44" t="s">
        <v>160</v>
      </c>
      <c r="G44" s="23">
        <v>0.49</v>
      </c>
      <c r="I44" s="24">
        <v>0</v>
      </c>
      <c r="J44" s="24">
        <v>2</v>
      </c>
      <c r="K44" s="24">
        <v>2</v>
      </c>
      <c r="L44" s="24">
        <v>0</v>
      </c>
      <c r="M44" s="24">
        <v>0</v>
      </c>
      <c r="N44" s="24">
        <v>0</v>
      </c>
      <c r="O44" s="24">
        <v>0</v>
      </c>
      <c r="P44" s="24">
        <v>0</v>
      </c>
      <c r="Q44" s="24">
        <v>3</v>
      </c>
      <c r="R44" s="24">
        <v>1</v>
      </c>
      <c r="S44" s="24">
        <v>0</v>
      </c>
      <c r="T44" s="24">
        <v>1</v>
      </c>
      <c r="U44" s="24">
        <v>0</v>
      </c>
      <c r="V44" s="24">
        <v>0</v>
      </c>
      <c r="W44" s="24">
        <v>2</v>
      </c>
      <c r="X44" s="24">
        <v>2</v>
      </c>
      <c r="Y44" s="6" t="s">
        <v>76</v>
      </c>
      <c r="Z44" s="24">
        <v>0</v>
      </c>
      <c r="AA44" s="24">
        <v>0</v>
      </c>
      <c r="AB44" s="24">
        <v>1</v>
      </c>
      <c r="AC44" s="24">
        <v>1</v>
      </c>
      <c r="AD44" s="24">
        <v>1</v>
      </c>
      <c r="AE44" s="24">
        <v>2</v>
      </c>
      <c r="AF44" s="24">
        <v>2</v>
      </c>
      <c r="AG44" s="24">
        <v>1</v>
      </c>
      <c r="AH44" s="24">
        <v>2</v>
      </c>
      <c r="AI44" s="24">
        <v>0</v>
      </c>
      <c r="AJ44" s="24">
        <v>1</v>
      </c>
      <c r="AK44" s="24">
        <v>1</v>
      </c>
      <c r="AL44" s="24">
        <v>3</v>
      </c>
      <c r="AM44" s="6" t="s">
        <v>76</v>
      </c>
      <c r="AN44" s="24">
        <v>2</v>
      </c>
      <c r="AO44" s="24">
        <v>2</v>
      </c>
      <c r="AP44" s="6" t="s">
        <v>76</v>
      </c>
      <c r="AQ44" s="24">
        <v>2</v>
      </c>
      <c r="AR44" s="24">
        <v>2</v>
      </c>
      <c r="AS44" s="24">
        <v>0</v>
      </c>
      <c r="AT44" s="24">
        <v>0</v>
      </c>
      <c r="AU44" s="6" t="s">
        <v>76</v>
      </c>
      <c r="AV44" s="24">
        <v>1</v>
      </c>
      <c r="AW44" s="24">
        <v>0</v>
      </c>
      <c r="AX44" s="24">
        <v>3</v>
      </c>
      <c r="AY44" s="6" t="s">
        <v>76</v>
      </c>
      <c r="AZ44" s="24">
        <v>3</v>
      </c>
      <c r="BA44" s="24">
        <v>0</v>
      </c>
      <c r="BB44" s="24">
        <v>2</v>
      </c>
      <c r="BC44" s="24">
        <v>2</v>
      </c>
      <c r="BD44" s="24">
        <v>2</v>
      </c>
      <c r="BE44" s="24">
        <v>2</v>
      </c>
      <c r="BF44" s="24">
        <v>0</v>
      </c>
      <c r="BG44" s="13">
        <f>IFERROR(AVERAGE(I44:Y44),"–")</f>
        <v>0.8125</v>
      </c>
      <c r="BH44" s="13">
        <f>IFERROR(AVERAGE(Z44:AM44),"–")</f>
        <v>1.1538461538461537</v>
      </c>
      <c r="BI44" s="13">
        <f>IFERROR(AVERAGE(AN44:AY44),"–")</f>
        <v>1.3333333333333333</v>
      </c>
      <c r="BJ44" s="13">
        <f>IFERROR(AVERAGE(AZ44:BA44),"–")</f>
        <v>1.5</v>
      </c>
      <c r="BK44" s="13">
        <f>IFERROR(AVERAGE(BB44:BF44),"–")</f>
        <v>1.6</v>
      </c>
      <c r="BL44" s="14">
        <f>IFERROR(AVERAGE(I44:BF44),"–")</f>
        <v>1.1333333333333333</v>
      </c>
      <c r="BM44" s="11">
        <f>COUNTIF(I44:BF44,0)</f>
        <v>17</v>
      </c>
    </row>
    <row r="45" spans="1:65">
      <c r="A45" s="3" t="s">
        <v>163</v>
      </c>
      <c r="B45" t="s">
        <v>173</v>
      </c>
      <c r="C45" t="s">
        <v>174</v>
      </c>
      <c r="D45" s="12">
        <v>0</v>
      </c>
      <c r="E45" t="s">
        <v>74</v>
      </c>
      <c r="F45" t="s">
        <v>160</v>
      </c>
      <c r="G45" s="23">
        <v>0.49</v>
      </c>
      <c r="I45" s="24">
        <v>0</v>
      </c>
      <c r="J45" s="24">
        <v>2</v>
      </c>
      <c r="K45" s="24">
        <v>2</v>
      </c>
      <c r="L45" s="24">
        <v>0</v>
      </c>
      <c r="M45" s="24">
        <v>0</v>
      </c>
      <c r="N45" s="24">
        <v>0</v>
      </c>
      <c r="O45" s="24">
        <v>0</v>
      </c>
      <c r="P45" s="24">
        <v>0</v>
      </c>
      <c r="Q45" s="24">
        <v>3</v>
      </c>
      <c r="R45" s="24">
        <v>1</v>
      </c>
      <c r="S45" s="24">
        <v>0</v>
      </c>
      <c r="T45" s="24">
        <v>1</v>
      </c>
      <c r="U45" s="24">
        <v>0</v>
      </c>
      <c r="V45" s="24">
        <v>0</v>
      </c>
      <c r="W45" s="24">
        <v>2</v>
      </c>
      <c r="X45" s="24">
        <v>2</v>
      </c>
      <c r="Y45" s="6" t="s">
        <v>76</v>
      </c>
      <c r="Z45" s="24">
        <v>0</v>
      </c>
      <c r="AA45" s="24">
        <v>0</v>
      </c>
      <c r="AB45" s="24">
        <v>1</v>
      </c>
      <c r="AC45" s="24">
        <v>1</v>
      </c>
      <c r="AD45" s="24">
        <v>1</v>
      </c>
      <c r="AE45" s="24">
        <v>2</v>
      </c>
      <c r="AF45" s="24">
        <v>2</v>
      </c>
      <c r="AG45" s="24">
        <v>1</v>
      </c>
      <c r="AH45" s="24">
        <v>2</v>
      </c>
      <c r="AI45" s="24">
        <v>0</v>
      </c>
      <c r="AJ45" s="24">
        <v>1</v>
      </c>
      <c r="AK45" s="24">
        <v>1</v>
      </c>
      <c r="AL45" s="24">
        <v>3</v>
      </c>
      <c r="AM45" s="6" t="s">
        <v>76</v>
      </c>
      <c r="AN45" s="24">
        <v>2</v>
      </c>
      <c r="AO45" s="24">
        <v>2</v>
      </c>
      <c r="AP45" s="6" t="s">
        <v>76</v>
      </c>
      <c r="AQ45" s="24">
        <v>2</v>
      </c>
      <c r="AR45" s="24">
        <v>2</v>
      </c>
      <c r="AS45" s="24">
        <v>0</v>
      </c>
      <c r="AT45" s="24">
        <v>0</v>
      </c>
      <c r="AU45" s="6" t="s">
        <v>76</v>
      </c>
      <c r="AV45" s="24">
        <v>1</v>
      </c>
      <c r="AW45" s="24">
        <v>0</v>
      </c>
      <c r="AX45" s="24">
        <v>3</v>
      </c>
      <c r="AY45" s="6" t="s">
        <v>76</v>
      </c>
      <c r="AZ45" s="24">
        <v>3</v>
      </c>
      <c r="BA45" s="24">
        <v>0</v>
      </c>
      <c r="BB45" s="24">
        <v>2</v>
      </c>
      <c r="BC45" s="24">
        <v>2</v>
      </c>
      <c r="BD45" s="24">
        <v>2</v>
      </c>
      <c r="BE45" s="24">
        <v>2</v>
      </c>
      <c r="BF45" s="24">
        <v>0</v>
      </c>
      <c r="BG45" s="13">
        <f>IFERROR(AVERAGE(I45:Y45),"–")</f>
        <v>0.8125</v>
      </c>
      <c r="BH45" s="13">
        <f>IFERROR(AVERAGE(Z45:AM45),"–")</f>
        <v>1.1538461538461537</v>
      </c>
      <c r="BI45" s="13">
        <f>IFERROR(AVERAGE(AN45:AY45),"–")</f>
        <v>1.3333333333333333</v>
      </c>
      <c r="BJ45" s="13">
        <f>IFERROR(AVERAGE(AZ45:BA45),"–")</f>
        <v>1.5</v>
      </c>
      <c r="BK45" s="13">
        <f>IFERROR(AVERAGE(BB45:BF45),"–")</f>
        <v>1.6</v>
      </c>
      <c r="BL45" s="14">
        <f>IFERROR(AVERAGE(I45:BF45),"–")</f>
        <v>1.1333333333333333</v>
      </c>
      <c r="BM45" s="11">
        <f>COUNTIF(I45:BF45,0)</f>
        <v>17</v>
      </c>
    </row>
    <row r="46" spans="1:65">
      <c r="A46" s="3" t="s">
        <v>163</v>
      </c>
      <c r="B46" t="s">
        <v>175</v>
      </c>
      <c r="C46" t="s">
        <v>176</v>
      </c>
      <c r="D46" s="12">
        <v>0</v>
      </c>
      <c r="E46" t="s">
        <v>74</v>
      </c>
      <c r="F46" t="s">
        <v>160</v>
      </c>
      <c r="G46" s="23">
        <v>0.49</v>
      </c>
      <c r="I46" s="24">
        <v>0</v>
      </c>
      <c r="J46" s="24">
        <v>2</v>
      </c>
      <c r="K46" s="24">
        <v>2</v>
      </c>
      <c r="L46" s="24">
        <v>0</v>
      </c>
      <c r="M46" s="24">
        <v>0</v>
      </c>
      <c r="N46" s="24">
        <v>0</v>
      </c>
      <c r="O46" s="24">
        <v>0</v>
      </c>
      <c r="P46" s="24">
        <v>0</v>
      </c>
      <c r="Q46" s="24">
        <v>3</v>
      </c>
      <c r="R46" s="24">
        <v>1</v>
      </c>
      <c r="S46" s="24">
        <v>0</v>
      </c>
      <c r="T46" s="24">
        <v>1</v>
      </c>
      <c r="U46" s="24">
        <v>0</v>
      </c>
      <c r="V46" s="24">
        <v>0</v>
      </c>
      <c r="W46" s="24">
        <v>2</v>
      </c>
      <c r="X46" s="24">
        <v>2</v>
      </c>
      <c r="Y46" s="6" t="s">
        <v>76</v>
      </c>
      <c r="Z46" s="24">
        <v>0</v>
      </c>
      <c r="AA46" s="24">
        <v>0</v>
      </c>
      <c r="AB46" s="24">
        <v>1</v>
      </c>
      <c r="AC46" s="24">
        <v>1</v>
      </c>
      <c r="AD46" s="24">
        <v>1</v>
      </c>
      <c r="AE46" s="24">
        <v>2</v>
      </c>
      <c r="AF46" s="24">
        <v>2</v>
      </c>
      <c r="AG46" s="24">
        <v>1</v>
      </c>
      <c r="AH46" s="24">
        <v>2</v>
      </c>
      <c r="AI46" s="24">
        <v>0</v>
      </c>
      <c r="AJ46" s="24">
        <v>1</v>
      </c>
      <c r="AK46" s="24">
        <v>1</v>
      </c>
      <c r="AL46" s="24">
        <v>3</v>
      </c>
      <c r="AM46" s="6" t="s">
        <v>76</v>
      </c>
      <c r="AN46" s="24">
        <v>2</v>
      </c>
      <c r="AO46" s="24">
        <v>2</v>
      </c>
      <c r="AP46" s="6" t="s">
        <v>76</v>
      </c>
      <c r="AQ46" s="24">
        <v>2</v>
      </c>
      <c r="AR46" s="24">
        <v>2</v>
      </c>
      <c r="AS46" s="24">
        <v>0</v>
      </c>
      <c r="AT46" s="24">
        <v>0</v>
      </c>
      <c r="AU46" s="6" t="s">
        <v>76</v>
      </c>
      <c r="AV46" s="24">
        <v>1</v>
      </c>
      <c r="AW46" s="24">
        <v>0</v>
      </c>
      <c r="AX46" s="24">
        <v>3</v>
      </c>
      <c r="AY46" s="6" t="s">
        <v>76</v>
      </c>
      <c r="AZ46" s="24">
        <v>3</v>
      </c>
      <c r="BA46" s="24">
        <v>0</v>
      </c>
      <c r="BB46" s="24">
        <v>2</v>
      </c>
      <c r="BC46" s="24">
        <v>2</v>
      </c>
      <c r="BD46" s="24">
        <v>2</v>
      </c>
      <c r="BE46" s="24">
        <v>2</v>
      </c>
      <c r="BF46" s="24">
        <v>0</v>
      </c>
      <c r="BG46" s="13">
        <f>IFERROR(AVERAGE(I46:Y46),"–")</f>
        <v>0.8125</v>
      </c>
      <c r="BH46" s="13">
        <f>IFERROR(AVERAGE(Z46:AM46),"–")</f>
        <v>1.1538461538461537</v>
      </c>
      <c r="BI46" s="13">
        <f>IFERROR(AVERAGE(AN46:AY46),"–")</f>
        <v>1.3333333333333333</v>
      </c>
      <c r="BJ46" s="13">
        <f>IFERROR(AVERAGE(AZ46:BA46),"–")</f>
        <v>1.5</v>
      </c>
      <c r="BK46" s="13">
        <f>IFERROR(AVERAGE(BB46:BF46),"–")</f>
        <v>1.6</v>
      </c>
      <c r="BL46" s="14">
        <f>IFERROR(AVERAGE(I46:BF46),"–")</f>
        <v>1.1333333333333333</v>
      </c>
      <c r="BM46" s="11">
        <f>COUNTIF(I46:BF46,0)</f>
        <v>17</v>
      </c>
    </row>
    <row r="47" spans="1:65">
      <c r="A47" s="3" t="s">
        <v>163</v>
      </c>
      <c r="B47" t="s">
        <v>177</v>
      </c>
      <c r="C47" t="s">
        <v>178</v>
      </c>
      <c r="D47" s="12">
        <v>0</v>
      </c>
      <c r="E47" t="s">
        <v>74</v>
      </c>
      <c r="F47" t="s">
        <v>160</v>
      </c>
      <c r="G47" s="23">
        <v>0.49</v>
      </c>
      <c r="I47" s="24">
        <v>0</v>
      </c>
      <c r="J47" s="24">
        <v>2</v>
      </c>
      <c r="K47" s="24">
        <v>2</v>
      </c>
      <c r="L47" s="24">
        <v>0</v>
      </c>
      <c r="M47" s="24">
        <v>0</v>
      </c>
      <c r="N47" s="24">
        <v>0</v>
      </c>
      <c r="O47" s="24">
        <v>0</v>
      </c>
      <c r="P47" s="24">
        <v>0</v>
      </c>
      <c r="Q47" s="24">
        <v>3</v>
      </c>
      <c r="R47" s="24">
        <v>1</v>
      </c>
      <c r="S47" s="24">
        <v>0</v>
      </c>
      <c r="T47" s="24">
        <v>1</v>
      </c>
      <c r="U47" s="24">
        <v>0</v>
      </c>
      <c r="V47" s="24">
        <v>0</v>
      </c>
      <c r="W47" s="24">
        <v>2</v>
      </c>
      <c r="X47" s="24">
        <v>2</v>
      </c>
      <c r="Y47" s="6" t="s">
        <v>76</v>
      </c>
      <c r="Z47" s="24">
        <v>0</v>
      </c>
      <c r="AA47" s="24">
        <v>0</v>
      </c>
      <c r="AB47" s="24">
        <v>1</v>
      </c>
      <c r="AC47" s="24">
        <v>1</v>
      </c>
      <c r="AD47" s="24">
        <v>1</v>
      </c>
      <c r="AE47" s="24">
        <v>2</v>
      </c>
      <c r="AF47" s="24">
        <v>2</v>
      </c>
      <c r="AG47" s="24">
        <v>1</v>
      </c>
      <c r="AH47" s="24">
        <v>2</v>
      </c>
      <c r="AI47" s="24">
        <v>0</v>
      </c>
      <c r="AJ47" s="24">
        <v>1</v>
      </c>
      <c r="AK47" s="24">
        <v>1</v>
      </c>
      <c r="AL47" s="24">
        <v>3</v>
      </c>
      <c r="AM47" s="6" t="s">
        <v>76</v>
      </c>
      <c r="AN47" s="24">
        <v>2</v>
      </c>
      <c r="AO47" s="24">
        <v>2</v>
      </c>
      <c r="AP47" s="6" t="s">
        <v>76</v>
      </c>
      <c r="AQ47" s="24">
        <v>2</v>
      </c>
      <c r="AR47" s="24">
        <v>2</v>
      </c>
      <c r="AS47" s="24">
        <v>0</v>
      </c>
      <c r="AT47" s="24">
        <v>0</v>
      </c>
      <c r="AU47" s="6" t="s">
        <v>76</v>
      </c>
      <c r="AV47" s="24">
        <v>1</v>
      </c>
      <c r="AW47" s="24">
        <v>0</v>
      </c>
      <c r="AX47" s="24">
        <v>3</v>
      </c>
      <c r="AY47" s="6" t="s">
        <v>76</v>
      </c>
      <c r="AZ47" s="24">
        <v>3</v>
      </c>
      <c r="BA47" s="24">
        <v>0</v>
      </c>
      <c r="BB47" s="24">
        <v>2</v>
      </c>
      <c r="BC47" s="24">
        <v>2</v>
      </c>
      <c r="BD47" s="24">
        <v>2</v>
      </c>
      <c r="BE47" s="24">
        <v>2</v>
      </c>
      <c r="BF47" s="24">
        <v>0</v>
      </c>
      <c r="BG47" s="13">
        <f>IFERROR(AVERAGE(I47:Y47),"–")</f>
        <v>0.8125</v>
      </c>
      <c r="BH47" s="13">
        <f>IFERROR(AVERAGE(Z47:AM47),"–")</f>
        <v>1.1538461538461537</v>
      </c>
      <c r="BI47" s="13">
        <f>IFERROR(AVERAGE(AN47:AY47),"–")</f>
        <v>1.3333333333333333</v>
      </c>
      <c r="BJ47" s="13">
        <f>IFERROR(AVERAGE(AZ47:BA47),"–")</f>
        <v>1.5</v>
      </c>
      <c r="BK47" s="13">
        <f>IFERROR(AVERAGE(BB47:BF47),"–")</f>
        <v>1.6</v>
      </c>
      <c r="BL47" s="14">
        <f>IFERROR(AVERAGE(I47:BF47),"–")</f>
        <v>1.1333333333333333</v>
      </c>
      <c r="BM47" s="11">
        <f>COUNTIF(I47:BF47,0)</f>
        <v>17</v>
      </c>
    </row>
    <row r="48" spans="1:65">
      <c r="A48" s="3" t="s">
        <v>163</v>
      </c>
      <c r="B48" t="s">
        <v>179</v>
      </c>
      <c r="C48" t="s">
        <v>180</v>
      </c>
      <c r="D48" s="12">
        <v>0</v>
      </c>
      <c r="E48" t="s">
        <v>74</v>
      </c>
      <c r="F48" t="s">
        <v>160</v>
      </c>
      <c r="G48" s="23">
        <v>0.49</v>
      </c>
      <c r="I48" s="24">
        <v>0</v>
      </c>
      <c r="J48" s="24">
        <v>2</v>
      </c>
      <c r="K48" s="24">
        <v>2</v>
      </c>
      <c r="L48" s="24">
        <v>0</v>
      </c>
      <c r="M48" s="24">
        <v>0</v>
      </c>
      <c r="N48" s="24">
        <v>0</v>
      </c>
      <c r="O48" s="24">
        <v>0</v>
      </c>
      <c r="P48" s="24">
        <v>0</v>
      </c>
      <c r="Q48" s="24">
        <v>3</v>
      </c>
      <c r="R48" s="24">
        <v>1</v>
      </c>
      <c r="S48" s="24">
        <v>0</v>
      </c>
      <c r="T48" s="24">
        <v>1</v>
      </c>
      <c r="U48" s="24">
        <v>0</v>
      </c>
      <c r="V48" s="24">
        <v>0</v>
      </c>
      <c r="W48" s="24">
        <v>2</v>
      </c>
      <c r="X48" s="24">
        <v>2</v>
      </c>
      <c r="Y48" s="6" t="s">
        <v>76</v>
      </c>
      <c r="Z48" s="24">
        <v>0</v>
      </c>
      <c r="AA48" s="24">
        <v>0</v>
      </c>
      <c r="AB48" s="24">
        <v>1</v>
      </c>
      <c r="AC48" s="24">
        <v>1</v>
      </c>
      <c r="AD48" s="24">
        <v>1</v>
      </c>
      <c r="AE48" s="24">
        <v>2</v>
      </c>
      <c r="AF48" s="24">
        <v>2</v>
      </c>
      <c r="AG48" s="24">
        <v>1</v>
      </c>
      <c r="AH48" s="24">
        <v>2</v>
      </c>
      <c r="AI48" s="24">
        <v>0</v>
      </c>
      <c r="AJ48" s="24">
        <v>1</v>
      </c>
      <c r="AK48" s="24">
        <v>1</v>
      </c>
      <c r="AL48" s="24">
        <v>3</v>
      </c>
      <c r="AM48" s="6" t="s">
        <v>76</v>
      </c>
      <c r="AN48" s="24">
        <v>2</v>
      </c>
      <c r="AO48" s="24">
        <v>2</v>
      </c>
      <c r="AP48" s="6" t="s">
        <v>76</v>
      </c>
      <c r="AQ48" s="24">
        <v>2</v>
      </c>
      <c r="AR48" s="24">
        <v>2</v>
      </c>
      <c r="AS48" s="24">
        <v>0</v>
      </c>
      <c r="AT48" s="24">
        <v>0</v>
      </c>
      <c r="AU48" s="6" t="s">
        <v>76</v>
      </c>
      <c r="AV48" s="24">
        <v>1</v>
      </c>
      <c r="AW48" s="24">
        <v>0</v>
      </c>
      <c r="AX48" s="24">
        <v>3</v>
      </c>
      <c r="AY48" s="6" t="s">
        <v>76</v>
      </c>
      <c r="AZ48" s="24">
        <v>3</v>
      </c>
      <c r="BA48" s="24">
        <v>0</v>
      </c>
      <c r="BB48" s="24">
        <v>2</v>
      </c>
      <c r="BC48" s="24">
        <v>2</v>
      </c>
      <c r="BD48" s="24">
        <v>2</v>
      </c>
      <c r="BE48" s="24">
        <v>2</v>
      </c>
      <c r="BF48" s="24">
        <v>0</v>
      </c>
      <c r="BG48" s="13">
        <f>IFERROR(AVERAGE(I48:Y48),"–")</f>
        <v>0.8125</v>
      </c>
      <c r="BH48" s="13">
        <f>IFERROR(AVERAGE(Z48:AM48),"–")</f>
        <v>1.1538461538461537</v>
      </c>
      <c r="BI48" s="13">
        <f>IFERROR(AVERAGE(AN48:AY48),"–")</f>
        <v>1.3333333333333333</v>
      </c>
      <c r="BJ48" s="13">
        <f>IFERROR(AVERAGE(AZ48:BA48),"–")</f>
        <v>1.5</v>
      </c>
      <c r="BK48" s="13">
        <f>IFERROR(AVERAGE(BB48:BF48),"–")</f>
        <v>1.6</v>
      </c>
      <c r="BL48" s="14">
        <f>IFERROR(AVERAGE(I48:BF48),"–")</f>
        <v>1.1333333333333333</v>
      </c>
      <c r="BM48" s="11">
        <f>COUNTIF(I48:BF48,0)</f>
        <v>17</v>
      </c>
    </row>
    <row r="49" spans="1:65">
      <c r="A49" s="3" t="s">
        <v>163</v>
      </c>
      <c r="B49" t="s">
        <v>181</v>
      </c>
      <c r="C49" t="s">
        <v>182</v>
      </c>
      <c r="D49" s="12">
        <v>0</v>
      </c>
      <c r="E49" t="s">
        <v>74</v>
      </c>
      <c r="F49" t="s">
        <v>160</v>
      </c>
      <c r="G49" s="23">
        <v>0.49</v>
      </c>
      <c r="I49" s="24">
        <v>0</v>
      </c>
      <c r="J49" s="24">
        <v>2</v>
      </c>
      <c r="K49" s="24">
        <v>2</v>
      </c>
      <c r="L49" s="24">
        <v>0</v>
      </c>
      <c r="M49" s="24">
        <v>0</v>
      </c>
      <c r="N49" s="24">
        <v>0</v>
      </c>
      <c r="O49" s="24">
        <v>0</v>
      </c>
      <c r="P49" s="24">
        <v>0</v>
      </c>
      <c r="Q49" s="24">
        <v>3</v>
      </c>
      <c r="R49" s="24">
        <v>1</v>
      </c>
      <c r="S49" s="24">
        <v>0</v>
      </c>
      <c r="T49" s="24">
        <v>1</v>
      </c>
      <c r="U49" s="24">
        <v>0</v>
      </c>
      <c r="V49" s="24">
        <v>0</v>
      </c>
      <c r="W49" s="24">
        <v>2</v>
      </c>
      <c r="X49" s="24">
        <v>2</v>
      </c>
      <c r="Y49" s="6" t="s">
        <v>76</v>
      </c>
      <c r="Z49" s="24">
        <v>0</v>
      </c>
      <c r="AA49" s="24">
        <v>0</v>
      </c>
      <c r="AB49" s="24">
        <v>1</v>
      </c>
      <c r="AC49" s="24">
        <v>1</v>
      </c>
      <c r="AD49" s="24">
        <v>1</v>
      </c>
      <c r="AE49" s="24">
        <v>2</v>
      </c>
      <c r="AF49" s="24">
        <v>2</v>
      </c>
      <c r="AG49" s="24">
        <v>1</v>
      </c>
      <c r="AH49" s="24">
        <v>2</v>
      </c>
      <c r="AI49" s="24">
        <v>0</v>
      </c>
      <c r="AJ49" s="24">
        <v>1</v>
      </c>
      <c r="AK49" s="24">
        <v>1</v>
      </c>
      <c r="AL49" s="24">
        <v>3</v>
      </c>
      <c r="AM49" s="6" t="s">
        <v>76</v>
      </c>
      <c r="AN49" s="24">
        <v>2</v>
      </c>
      <c r="AO49" s="24">
        <v>2</v>
      </c>
      <c r="AP49" s="6" t="s">
        <v>76</v>
      </c>
      <c r="AQ49" s="24">
        <v>2</v>
      </c>
      <c r="AR49" s="24">
        <v>2</v>
      </c>
      <c r="AS49" s="24">
        <v>0</v>
      </c>
      <c r="AT49" s="24">
        <v>0</v>
      </c>
      <c r="AU49" s="6" t="s">
        <v>76</v>
      </c>
      <c r="AV49" s="24">
        <v>1</v>
      </c>
      <c r="AW49" s="24">
        <v>0</v>
      </c>
      <c r="AX49" s="24">
        <v>3</v>
      </c>
      <c r="AY49" s="6" t="s">
        <v>76</v>
      </c>
      <c r="AZ49" s="24">
        <v>3</v>
      </c>
      <c r="BA49" s="24">
        <v>0</v>
      </c>
      <c r="BB49" s="24">
        <v>2</v>
      </c>
      <c r="BC49" s="24">
        <v>2</v>
      </c>
      <c r="BD49" s="24">
        <v>2</v>
      </c>
      <c r="BE49" s="24">
        <v>2</v>
      </c>
      <c r="BF49" s="24">
        <v>0</v>
      </c>
      <c r="BG49" s="13">
        <f>IFERROR(AVERAGE(I49:Y49),"–")</f>
        <v>0.8125</v>
      </c>
      <c r="BH49" s="13">
        <f>IFERROR(AVERAGE(Z49:AM49),"–")</f>
        <v>1.1538461538461537</v>
      </c>
      <c r="BI49" s="13">
        <f>IFERROR(AVERAGE(AN49:AY49),"–")</f>
        <v>1.3333333333333333</v>
      </c>
      <c r="BJ49" s="13">
        <f>IFERROR(AVERAGE(AZ49:BA49),"–")</f>
        <v>1.5</v>
      </c>
      <c r="BK49" s="13">
        <f>IFERROR(AVERAGE(BB49:BF49),"–")</f>
        <v>1.6</v>
      </c>
      <c r="BL49" s="14">
        <f>IFERROR(AVERAGE(I49:BF49),"–")</f>
        <v>1.1333333333333333</v>
      </c>
      <c r="BM49" s="11">
        <f>COUNTIF(I49:BF49,0)</f>
        <v>17</v>
      </c>
    </row>
    <row r="50" spans="1:65">
      <c r="A50" s="3" t="s">
        <v>163</v>
      </c>
      <c r="B50" t="s">
        <v>183</v>
      </c>
      <c r="C50" t="s">
        <v>184</v>
      </c>
      <c r="D50" s="12">
        <v>0</v>
      </c>
      <c r="E50" t="s">
        <v>74</v>
      </c>
      <c r="F50" t="s">
        <v>160</v>
      </c>
      <c r="G50" s="23">
        <v>0.49</v>
      </c>
      <c r="I50" s="24">
        <v>0</v>
      </c>
      <c r="J50" s="24">
        <v>2</v>
      </c>
      <c r="K50" s="24">
        <v>2</v>
      </c>
      <c r="L50" s="24">
        <v>0</v>
      </c>
      <c r="M50" s="24">
        <v>0</v>
      </c>
      <c r="N50" s="24">
        <v>0</v>
      </c>
      <c r="O50" s="24">
        <v>0</v>
      </c>
      <c r="P50" s="24">
        <v>0</v>
      </c>
      <c r="Q50" s="24">
        <v>3</v>
      </c>
      <c r="R50" s="24">
        <v>1</v>
      </c>
      <c r="S50" s="24">
        <v>0</v>
      </c>
      <c r="T50" s="24">
        <v>1</v>
      </c>
      <c r="U50" s="24">
        <v>0</v>
      </c>
      <c r="V50" s="24">
        <v>0</v>
      </c>
      <c r="W50" s="24">
        <v>2</v>
      </c>
      <c r="X50" s="24">
        <v>2</v>
      </c>
      <c r="Y50" s="6" t="s">
        <v>76</v>
      </c>
      <c r="Z50" s="24">
        <v>0</v>
      </c>
      <c r="AA50" s="24">
        <v>0</v>
      </c>
      <c r="AB50" s="24">
        <v>1</v>
      </c>
      <c r="AC50" s="24">
        <v>1</v>
      </c>
      <c r="AD50" s="24">
        <v>1</v>
      </c>
      <c r="AE50" s="24">
        <v>2</v>
      </c>
      <c r="AF50" s="24">
        <v>2</v>
      </c>
      <c r="AG50" s="24">
        <v>1</v>
      </c>
      <c r="AH50" s="24">
        <v>2</v>
      </c>
      <c r="AI50" s="24">
        <v>0</v>
      </c>
      <c r="AJ50" s="24">
        <v>1</v>
      </c>
      <c r="AK50" s="24">
        <v>1</v>
      </c>
      <c r="AL50" s="24">
        <v>3</v>
      </c>
      <c r="AM50" s="6" t="s">
        <v>76</v>
      </c>
      <c r="AN50" s="24">
        <v>2</v>
      </c>
      <c r="AO50" s="24">
        <v>2</v>
      </c>
      <c r="AP50" s="6" t="s">
        <v>76</v>
      </c>
      <c r="AQ50" s="24">
        <v>2</v>
      </c>
      <c r="AR50" s="24">
        <v>2</v>
      </c>
      <c r="AS50" s="24">
        <v>0</v>
      </c>
      <c r="AT50" s="24">
        <v>0</v>
      </c>
      <c r="AU50" s="6" t="s">
        <v>76</v>
      </c>
      <c r="AV50" s="24">
        <v>1</v>
      </c>
      <c r="AW50" s="24">
        <v>0</v>
      </c>
      <c r="AX50" s="24">
        <v>3</v>
      </c>
      <c r="AY50" s="6" t="s">
        <v>76</v>
      </c>
      <c r="AZ50" s="24">
        <v>3</v>
      </c>
      <c r="BA50" s="24">
        <v>0</v>
      </c>
      <c r="BB50" s="24">
        <v>2</v>
      </c>
      <c r="BC50" s="24">
        <v>2</v>
      </c>
      <c r="BD50" s="24">
        <v>2</v>
      </c>
      <c r="BE50" s="24">
        <v>2</v>
      </c>
      <c r="BF50" s="24">
        <v>0</v>
      </c>
      <c r="BG50" s="13">
        <f>IFERROR(AVERAGE(I50:Y50),"–")</f>
        <v>0.8125</v>
      </c>
      <c r="BH50" s="13">
        <f>IFERROR(AVERAGE(Z50:AM50),"–")</f>
        <v>1.1538461538461537</v>
      </c>
      <c r="BI50" s="13">
        <f>IFERROR(AVERAGE(AN50:AY50),"–")</f>
        <v>1.3333333333333333</v>
      </c>
      <c r="BJ50" s="13">
        <f>IFERROR(AVERAGE(AZ50:BA50),"–")</f>
        <v>1.5</v>
      </c>
      <c r="BK50" s="13">
        <f>IFERROR(AVERAGE(BB50:BF50),"–")</f>
        <v>1.6</v>
      </c>
      <c r="BL50" s="14">
        <f>IFERROR(AVERAGE(I50:BF50),"–")</f>
        <v>1.1333333333333333</v>
      </c>
      <c r="BM50" s="11">
        <f>COUNTIF(I50:BF50,0)</f>
        <v>17</v>
      </c>
    </row>
    <row r="51" spans="1:65">
      <c r="A51" s="3" t="s">
        <v>163</v>
      </c>
      <c r="B51" t="s">
        <v>185</v>
      </c>
      <c r="C51" t="s">
        <v>186</v>
      </c>
      <c r="D51" s="12">
        <v>0</v>
      </c>
      <c r="E51" t="s">
        <v>74</v>
      </c>
      <c r="F51" t="s">
        <v>160</v>
      </c>
      <c r="G51" s="23">
        <v>0.49</v>
      </c>
      <c r="I51" s="24">
        <v>0</v>
      </c>
      <c r="J51" s="24">
        <v>2</v>
      </c>
      <c r="K51" s="24">
        <v>2</v>
      </c>
      <c r="L51" s="24">
        <v>0</v>
      </c>
      <c r="M51" s="24">
        <v>0</v>
      </c>
      <c r="N51" s="24">
        <v>0</v>
      </c>
      <c r="O51" s="24">
        <v>0</v>
      </c>
      <c r="P51" s="24">
        <v>0</v>
      </c>
      <c r="Q51" s="24">
        <v>3</v>
      </c>
      <c r="R51" s="24">
        <v>1</v>
      </c>
      <c r="S51" s="24">
        <v>0</v>
      </c>
      <c r="T51" s="24">
        <v>1</v>
      </c>
      <c r="U51" s="24">
        <v>0</v>
      </c>
      <c r="V51" s="24">
        <v>0</v>
      </c>
      <c r="W51" s="24">
        <v>2</v>
      </c>
      <c r="X51" s="24">
        <v>2</v>
      </c>
      <c r="Y51" s="6" t="s">
        <v>76</v>
      </c>
      <c r="Z51" s="24">
        <v>0</v>
      </c>
      <c r="AA51" s="24">
        <v>0</v>
      </c>
      <c r="AB51" s="24">
        <v>1</v>
      </c>
      <c r="AC51" s="24">
        <v>1</v>
      </c>
      <c r="AD51" s="24">
        <v>1</v>
      </c>
      <c r="AE51" s="24">
        <v>2</v>
      </c>
      <c r="AF51" s="24">
        <v>2</v>
      </c>
      <c r="AG51" s="24">
        <v>1</v>
      </c>
      <c r="AH51" s="24">
        <v>2</v>
      </c>
      <c r="AI51" s="24">
        <v>0</v>
      </c>
      <c r="AJ51" s="24">
        <v>1</v>
      </c>
      <c r="AK51" s="24">
        <v>1</v>
      </c>
      <c r="AL51" s="24">
        <v>3</v>
      </c>
      <c r="AM51" s="6" t="s">
        <v>76</v>
      </c>
      <c r="AN51" s="24">
        <v>2</v>
      </c>
      <c r="AO51" s="24">
        <v>2</v>
      </c>
      <c r="AP51" s="6" t="s">
        <v>76</v>
      </c>
      <c r="AQ51" s="24">
        <v>2</v>
      </c>
      <c r="AR51" s="24">
        <v>2</v>
      </c>
      <c r="AS51" s="24">
        <v>0</v>
      </c>
      <c r="AT51" s="24">
        <v>0</v>
      </c>
      <c r="AU51" s="6" t="s">
        <v>76</v>
      </c>
      <c r="AV51" s="24">
        <v>1</v>
      </c>
      <c r="AW51" s="24">
        <v>0</v>
      </c>
      <c r="AX51" s="24">
        <v>3</v>
      </c>
      <c r="AY51" s="6" t="s">
        <v>76</v>
      </c>
      <c r="AZ51" s="24">
        <v>3</v>
      </c>
      <c r="BA51" s="24">
        <v>0</v>
      </c>
      <c r="BB51" s="24">
        <v>2</v>
      </c>
      <c r="BC51" s="24">
        <v>2</v>
      </c>
      <c r="BD51" s="24">
        <v>2</v>
      </c>
      <c r="BE51" s="24">
        <v>2</v>
      </c>
      <c r="BF51" s="24">
        <v>0</v>
      </c>
      <c r="BG51" s="13">
        <f>IFERROR(AVERAGE(I51:Y51),"–")</f>
        <v>0.8125</v>
      </c>
      <c r="BH51" s="13">
        <f>IFERROR(AVERAGE(Z51:AM51),"–")</f>
        <v>1.1538461538461537</v>
      </c>
      <c r="BI51" s="13">
        <f>IFERROR(AVERAGE(AN51:AY51),"–")</f>
        <v>1.3333333333333333</v>
      </c>
      <c r="BJ51" s="13">
        <f>IFERROR(AVERAGE(AZ51:BA51),"–")</f>
        <v>1.5</v>
      </c>
      <c r="BK51" s="13">
        <f>IFERROR(AVERAGE(BB51:BF51),"–")</f>
        <v>1.6</v>
      </c>
      <c r="BL51" s="14">
        <f>IFERROR(AVERAGE(I51:BF51),"–")</f>
        <v>1.1333333333333333</v>
      </c>
      <c r="BM51" s="11">
        <f>COUNTIF(I51:BF51,0)</f>
        <v>17</v>
      </c>
    </row>
    <row r="52" spans="1:65">
      <c r="A52" s="3" t="s">
        <v>163</v>
      </c>
      <c r="B52" t="s">
        <v>187</v>
      </c>
      <c r="C52" t="s">
        <v>188</v>
      </c>
      <c r="D52" s="12">
        <v>0</v>
      </c>
      <c r="E52" t="s">
        <v>74</v>
      </c>
      <c r="F52" t="s">
        <v>160</v>
      </c>
      <c r="G52" s="23">
        <v>0.49</v>
      </c>
      <c r="I52" s="24">
        <v>0</v>
      </c>
      <c r="J52" s="24">
        <v>2</v>
      </c>
      <c r="K52" s="24">
        <v>2</v>
      </c>
      <c r="L52" s="24">
        <v>0</v>
      </c>
      <c r="M52" s="24">
        <v>0</v>
      </c>
      <c r="N52" s="24">
        <v>0</v>
      </c>
      <c r="O52" s="24">
        <v>0</v>
      </c>
      <c r="P52" s="24">
        <v>0</v>
      </c>
      <c r="Q52" s="24">
        <v>3</v>
      </c>
      <c r="R52" s="24">
        <v>1</v>
      </c>
      <c r="S52" s="24">
        <v>0</v>
      </c>
      <c r="T52" s="24">
        <v>1</v>
      </c>
      <c r="U52" s="24">
        <v>0</v>
      </c>
      <c r="V52" s="24">
        <v>0</v>
      </c>
      <c r="W52" s="24">
        <v>2</v>
      </c>
      <c r="X52" s="24">
        <v>2</v>
      </c>
      <c r="Y52" s="6" t="s">
        <v>76</v>
      </c>
      <c r="Z52" s="24">
        <v>0</v>
      </c>
      <c r="AA52" s="24">
        <v>0</v>
      </c>
      <c r="AB52" s="24">
        <v>1</v>
      </c>
      <c r="AC52" s="24">
        <v>1</v>
      </c>
      <c r="AD52" s="24">
        <v>1</v>
      </c>
      <c r="AE52" s="24">
        <v>2</v>
      </c>
      <c r="AF52" s="24">
        <v>2</v>
      </c>
      <c r="AG52" s="24">
        <v>1</v>
      </c>
      <c r="AH52" s="24">
        <v>2</v>
      </c>
      <c r="AI52" s="24">
        <v>0</v>
      </c>
      <c r="AJ52" s="24">
        <v>1</v>
      </c>
      <c r="AK52" s="24">
        <v>1</v>
      </c>
      <c r="AL52" s="24">
        <v>3</v>
      </c>
      <c r="AM52" s="6" t="s">
        <v>76</v>
      </c>
      <c r="AN52" s="24">
        <v>2</v>
      </c>
      <c r="AO52" s="24">
        <v>2</v>
      </c>
      <c r="AP52" s="6" t="s">
        <v>76</v>
      </c>
      <c r="AQ52" s="24">
        <v>2</v>
      </c>
      <c r="AR52" s="24">
        <v>2</v>
      </c>
      <c r="AS52" s="24">
        <v>0</v>
      </c>
      <c r="AT52" s="24">
        <v>0</v>
      </c>
      <c r="AU52" s="6" t="s">
        <v>76</v>
      </c>
      <c r="AV52" s="24">
        <v>1</v>
      </c>
      <c r="AW52" s="24">
        <v>0</v>
      </c>
      <c r="AX52" s="24">
        <v>3</v>
      </c>
      <c r="AY52" s="6" t="s">
        <v>76</v>
      </c>
      <c r="AZ52" s="24">
        <v>3</v>
      </c>
      <c r="BA52" s="24">
        <v>0</v>
      </c>
      <c r="BB52" s="24">
        <v>2</v>
      </c>
      <c r="BC52" s="24">
        <v>2</v>
      </c>
      <c r="BD52" s="24">
        <v>2</v>
      </c>
      <c r="BE52" s="24">
        <v>2</v>
      </c>
      <c r="BF52" s="24">
        <v>0</v>
      </c>
      <c r="BG52" s="13">
        <f>IFERROR(AVERAGE(I52:Y52),"–")</f>
        <v>0.8125</v>
      </c>
      <c r="BH52" s="13">
        <f>IFERROR(AVERAGE(Z52:AM52),"–")</f>
        <v>1.1538461538461537</v>
      </c>
      <c r="BI52" s="13">
        <f>IFERROR(AVERAGE(AN52:AY52),"–")</f>
        <v>1.3333333333333333</v>
      </c>
      <c r="BJ52" s="13">
        <f>IFERROR(AVERAGE(AZ52:BA52),"–")</f>
        <v>1.5</v>
      </c>
      <c r="BK52" s="13">
        <f>IFERROR(AVERAGE(BB52:BF52),"–")</f>
        <v>1.6</v>
      </c>
      <c r="BL52" s="14">
        <f>IFERROR(AVERAGE(I52:BF52),"–")</f>
        <v>1.1333333333333333</v>
      </c>
      <c r="BM52" s="11">
        <f>COUNTIF(I52:BF52,0)</f>
        <v>17</v>
      </c>
    </row>
    <row r="53" spans="1:65">
      <c r="A53" s="3" t="s">
        <v>163</v>
      </c>
      <c r="B53" t="s">
        <v>189</v>
      </c>
      <c r="C53" t="s">
        <v>190</v>
      </c>
      <c r="D53" s="12">
        <v>0</v>
      </c>
      <c r="E53" t="s">
        <v>74</v>
      </c>
      <c r="F53" t="s">
        <v>160</v>
      </c>
      <c r="G53" s="23">
        <v>0.49</v>
      </c>
      <c r="I53" s="24">
        <v>0</v>
      </c>
      <c r="J53" s="24">
        <v>2</v>
      </c>
      <c r="K53" s="24">
        <v>2</v>
      </c>
      <c r="L53" s="24">
        <v>0</v>
      </c>
      <c r="M53" s="24">
        <v>0</v>
      </c>
      <c r="N53" s="24">
        <v>0</v>
      </c>
      <c r="O53" s="24">
        <v>0</v>
      </c>
      <c r="P53" s="24">
        <v>0</v>
      </c>
      <c r="Q53" s="24">
        <v>3</v>
      </c>
      <c r="R53" s="24">
        <v>1</v>
      </c>
      <c r="S53" s="24">
        <v>0</v>
      </c>
      <c r="T53" s="24">
        <v>1</v>
      </c>
      <c r="U53" s="24">
        <v>0</v>
      </c>
      <c r="V53" s="24">
        <v>0</v>
      </c>
      <c r="W53" s="24">
        <v>2</v>
      </c>
      <c r="X53" s="24">
        <v>2</v>
      </c>
      <c r="Y53" s="6" t="s">
        <v>76</v>
      </c>
      <c r="Z53" s="24">
        <v>0</v>
      </c>
      <c r="AA53" s="24">
        <v>0</v>
      </c>
      <c r="AB53" s="24">
        <v>1</v>
      </c>
      <c r="AC53" s="24">
        <v>1</v>
      </c>
      <c r="AD53" s="24">
        <v>1</v>
      </c>
      <c r="AE53" s="24">
        <v>2</v>
      </c>
      <c r="AF53" s="24">
        <v>2</v>
      </c>
      <c r="AG53" s="24">
        <v>1</v>
      </c>
      <c r="AH53" s="24">
        <v>2</v>
      </c>
      <c r="AI53" s="24">
        <v>0</v>
      </c>
      <c r="AJ53" s="24">
        <v>1</v>
      </c>
      <c r="AK53" s="24">
        <v>1</v>
      </c>
      <c r="AL53" s="24">
        <v>3</v>
      </c>
      <c r="AM53" s="6" t="s">
        <v>76</v>
      </c>
      <c r="AN53" s="24">
        <v>2</v>
      </c>
      <c r="AO53" s="24">
        <v>2</v>
      </c>
      <c r="AP53" s="6" t="s">
        <v>76</v>
      </c>
      <c r="AQ53" s="24">
        <v>2</v>
      </c>
      <c r="AR53" s="24">
        <v>2</v>
      </c>
      <c r="AS53" s="24">
        <v>0</v>
      </c>
      <c r="AT53" s="24">
        <v>0</v>
      </c>
      <c r="AU53" s="6" t="s">
        <v>76</v>
      </c>
      <c r="AV53" s="24">
        <v>1</v>
      </c>
      <c r="AW53" s="24">
        <v>0</v>
      </c>
      <c r="AX53" s="24">
        <v>3</v>
      </c>
      <c r="AY53" s="6" t="s">
        <v>76</v>
      </c>
      <c r="AZ53" s="24">
        <v>3</v>
      </c>
      <c r="BA53" s="24">
        <v>0</v>
      </c>
      <c r="BB53" s="24">
        <v>2</v>
      </c>
      <c r="BC53" s="24">
        <v>2</v>
      </c>
      <c r="BD53" s="24">
        <v>2</v>
      </c>
      <c r="BE53" s="24">
        <v>2</v>
      </c>
      <c r="BF53" s="24">
        <v>0</v>
      </c>
      <c r="BG53" s="13">
        <f>IFERROR(AVERAGE(I53:Y53),"–")</f>
        <v>0.8125</v>
      </c>
      <c r="BH53" s="13">
        <f>IFERROR(AVERAGE(Z53:AM53),"–")</f>
        <v>1.1538461538461537</v>
      </c>
      <c r="BI53" s="13">
        <f>IFERROR(AVERAGE(AN53:AY53),"–")</f>
        <v>1.3333333333333333</v>
      </c>
      <c r="BJ53" s="13">
        <f>IFERROR(AVERAGE(AZ53:BA53),"–")</f>
        <v>1.5</v>
      </c>
      <c r="BK53" s="13">
        <f>IFERROR(AVERAGE(BB53:BF53),"–")</f>
        <v>1.6</v>
      </c>
      <c r="BL53" s="14">
        <f>IFERROR(AVERAGE(I53:BF53),"–")</f>
        <v>1.1333333333333333</v>
      </c>
      <c r="BM53" s="11">
        <f>COUNTIF(I53:BF53,0)</f>
        <v>17</v>
      </c>
    </row>
    <row r="54" spans="1:65">
      <c r="A54" s="3" t="s">
        <v>163</v>
      </c>
      <c r="B54" t="s">
        <v>191</v>
      </c>
      <c r="C54" t="s">
        <v>192</v>
      </c>
      <c r="D54" s="12">
        <v>0</v>
      </c>
      <c r="E54" t="s">
        <v>74</v>
      </c>
      <c r="F54" t="s">
        <v>160</v>
      </c>
      <c r="G54" s="23">
        <v>0.49</v>
      </c>
      <c r="I54" s="24">
        <v>0</v>
      </c>
      <c r="J54" s="24">
        <v>2</v>
      </c>
      <c r="K54" s="24">
        <v>2</v>
      </c>
      <c r="L54" s="24">
        <v>0</v>
      </c>
      <c r="M54" s="24">
        <v>0</v>
      </c>
      <c r="N54" s="24">
        <v>0</v>
      </c>
      <c r="O54" s="24">
        <v>0</v>
      </c>
      <c r="P54" s="24">
        <v>0</v>
      </c>
      <c r="Q54" s="24">
        <v>3</v>
      </c>
      <c r="R54" s="24">
        <v>1</v>
      </c>
      <c r="S54" s="24">
        <v>0</v>
      </c>
      <c r="T54" s="24">
        <v>1</v>
      </c>
      <c r="U54" s="24">
        <v>0</v>
      </c>
      <c r="V54" s="24">
        <v>0</v>
      </c>
      <c r="W54" s="24">
        <v>2</v>
      </c>
      <c r="X54" s="24">
        <v>2</v>
      </c>
      <c r="Y54" s="6" t="s">
        <v>76</v>
      </c>
      <c r="Z54" s="24">
        <v>0</v>
      </c>
      <c r="AA54" s="24">
        <v>0</v>
      </c>
      <c r="AB54" s="24">
        <v>1</v>
      </c>
      <c r="AC54" s="24">
        <v>1</v>
      </c>
      <c r="AD54" s="24">
        <v>1</v>
      </c>
      <c r="AE54" s="24">
        <v>2</v>
      </c>
      <c r="AF54" s="24">
        <v>2</v>
      </c>
      <c r="AG54" s="24">
        <v>1</v>
      </c>
      <c r="AH54" s="24">
        <v>2</v>
      </c>
      <c r="AI54" s="24">
        <v>0</v>
      </c>
      <c r="AJ54" s="24">
        <v>1</v>
      </c>
      <c r="AK54" s="24">
        <v>1</v>
      </c>
      <c r="AL54" s="24">
        <v>3</v>
      </c>
      <c r="AM54" s="6" t="s">
        <v>76</v>
      </c>
      <c r="AN54" s="24">
        <v>2</v>
      </c>
      <c r="AO54" s="24">
        <v>2</v>
      </c>
      <c r="AP54" s="6" t="s">
        <v>76</v>
      </c>
      <c r="AQ54" s="24">
        <v>2</v>
      </c>
      <c r="AR54" s="24">
        <v>2</v>
      </c>
      <c r="AS54" s="24">
        <v>0</v>
      </c>
      <c r="AT54" s="24">
        <v>0</v>
      </c>
      <c r="AU54" s="6" t="s">
        <v>76</v>
      </c>
      <c r="AV54" s="24">
        <v>1</v>
      </c>
      <c r="AW54" s="24">
        <v>0</v>
      </c>
      <c r="AX54" s="24">
        <v>3</v>
      </c>
      <c r="AY54" s="6" t="s">
        <v>76</v>
      </c>
      <c r="AZ54" s="24">
        <v>3</v>
      </c>
      <c r="BA54" s="24">
        <v>0</v>
      </c>
      <c r="BB54" s="24">
        <v>2</v>
      </c>
      <c r="BC54" s="24">
        <v>2</v>
      </c>
      <c r="BD54" s="24">
        <v>2</v>
      </c>
      <c r="BE54" s="24">
        <v>2</v>
      </c>
      <c r="BF54" s="24">
        <v>0</v>
      </c>
      <c r="BG54" s="13">
        <f>IFERROR(AVERAGE(I54:Y54),"–")</f>
        <v>0.8125</v>
      </c>
      <c r="BH54" s="13">
        <f>IFERROR(AVERAGE(Z54:AM54),"–")</f>
        <v>1.1538461538461537</v>
      </c>
      <c r="BI54" s="13">
        <f>IFERROR(AVERAGE(AN54:AY54),"–")</f>
        <v>1.3333333333333333</v>
      </c>
      <c r="BJ54" s="13">
        <f>IFERROR(AVERAGE(AZ54:BA54),"–")</f>
        <v>1.5</v>
      </c>
      <c r="BK54" s="13">
        <f>IFERROR(AVERAGE(BB54:BF54),"–")</f>
        <v>1.6</v>
      </c>
      <c r="BL54" s="14">
        <f>IFERROR(AVERAGE(I54:BF54),"–")</f>
        <v>1.1333333333333333</v>
      </c>
      <c r="BM54" s="11">
        <f>COUNTIF(I54:BF54,0)</f>
        <v>17</v>
      </c>
    </row>
    <row r="55" spans="1:65">
      <c r="A55" s="3" t="s">
        <v>163</v>
      </c>
      <c r="B55" t="s">
        <v>193</v>
      </c>
      <c r="C55" t="s">
        <v>194</v>
      </c>
      <c r="D55" s="12">
        <v>0</v>
      </c>
      <c r="E55" t="s">
        <v>74</v>
      </c>
      <c r="F55" t="s">
        <v>160</v>
      </c>
      <c r="G55" s="23">
        <v>0.49</v>
      </c>
      <c r="I55" s="24">
        <v>0</v>
      </c>
      <c r="J55" s="24">
        <v>2</v>
      </c>
      <c r="K55" s="24">
        <v>2</v>
      </c>
      <c r="L55" s="24">
        <v>0</v>
      </c>
      <c r="M55" s="24">
        <v>0</v>
      </c>
      <c r="N55" s="24">
        <v>0</v>
      </c>
      <c r="O55" s="24">
        <v>0</v>
      </c>
      <c r="P55" s="24">
        <v>0</v>
      </c>
      <c r="Q55" s="24">
        <v>3</v>
      </c>
      <c r="R55" s="24">
        <v>1</v>
      </c>
      <c r="S55" s="24">
        <v>0</v>
      </c>
      <c r="T55" s="24">
        <v>1</v>
      </c>
      <c r="U55" s="24">
        <v>0</v>
      </c>
      <c r="V55" s="24">
        <v>0</v>
      </c>
      <c r="W55" s="24">
        <v>2</v>
      </c>
      <c r="X55" s="24">
        <v>2</v>
      </c>
      <c r="Y55" s="6" t="s">
        <v>76</v>
      </c>
      <c r="Z55" s="24">
        <v>0</v>
      </c>
      <c r="AA55" s="24">
        <v>0</v>
      </c>
      <c r="AB55" s="24">
        <v>1</v>
      </c>
      <c r="AC55" s="24">
        <v>1</v>
      </c>
      <c r="AD55" s="24">
        <v>1</v>
      </c>
      <c r="AE55" s="24">
        <v>2</v>
      </c>
      <c r="AF55" s="24">
        <v>2</v>
      </c>
      <c r="AG55" s="24">
        <v>1</v>
      </c>
      <c r="AH55" s="24">
        <v>2</v>
      </c>
      <c r="AI55" s="24">
        <v>0</v>
      </c>
      <c r="AJ55" s="24">
        <v>1</v>
      </c>
      <c r="AK55" s="24">
        <v>1</v>
      </c>
      <c r="AL55" s="24">
        <v>3</v>
      </c>
      <c r="AM55" s="6" t="s">
        <v>76</v>
      </c>
      <c r="AN55" s="24">
        <v>2</v>
      </c>
      <c r="AO55" s="24">
        <v>2</v>
      </c>
      <c r="AP55" s="6" t="s">
        <v>76</v>
      </c>
      <c r="AQ55" s="24">
        <v>2</v>
      </c>
      <c r="AR55" s="24">
        <v>2</v>
      </c>
      <c r="AS55" s="24">
        <v>0</v>
      </c>
      <c r="AT55" s="24">
        <v>0</v>
      </c>
      <c r="AU55" s="6" t="s">
        <v>76</v>
      </c>
      <c r="AV55" s="24">
        <v>1</v>
      </c>
      <c r="AW55" s="24">
        <v>0</v>
      </c>
      <c r="AX55" s="24">
        <v>3</v>
      </c>
      <c r="AY55" s="6" t="s">
        <v>76</v>
      </c>
      <c r="AZ55" s="24">
        <v>3</v>
      </c>
      <c r="BA55" s="24">
        <v>0</v>
      </c>
      <c r="BB55" s="24">
        <v>2</v>
      </c>
      <c r="BC55" s="24">
        <v>2</v>
      </c>
      <c r="BD55" s="24">
        <v>2</v>
      </c>
      <c r="BE55" s="24">
        <v>2</v>
      </c>
      <c r="BF55" s="24">
        <v>0</v>
      </c>
      <c r="BG55" s="13">
        <f>IFERROR(AVERAGE(I55:Y55),"–")</f>
        <v>0.8125</v>
      </c>
      <c r="BH55" s="13">
        <f>IFERROR(AVERAGE(Z55:AM55),"–")</f>
        <v>1.1538461538461537</v>
      </c>
      <c r="BI55" s="13">
        <f>IFERROR(AVERAGE(AN55:AY55),"–")</f>
        <v>1.3333333333333333</v>
      </c>
      <c r="BJ55" s="13">
        <f>IFERROR(AVERAGE(AZ55:BA55),"–")</f>
        <v>1.5</v>
      </c>
      <c r="BK55" s="13">
        <f>IFERROR(AVERAGE(BB55:BF55),"–")</f>
        <v>1.6</v>
      </c>
      <c r="BL55" s="14">
        <f>IFERROR(AVERAGE(I55:BF55),"–")</f>
        <v>1.1333333333333333</v>
      </c>
      <c r="BM55" s="11">
        <f>COUNTIF(I55:BF55,0)</f>
        <v>17</v>
      </c>
    </row>
    <row r="56" spans="1:65">
      <c r="A56" s="3" t="s">
        <v>163</v>
      </c>
      <c r="B56" t="s">
        <v>195</v>
      </c>
      <c r="C56" t="s">
        <v>196</v>
      </c>
      <c r="D56" s="12">
        <v>0</v>
      </c>
      <c r="E56" t="s">
        <v>74</v>
      </c>
      <c r="F56" t="s">
        <v>160</v>
      </c>
      <c r="G56" s="23">
        <v>0.49</v>
      </c>
      <c r="I56" s="24">
        <v>0</v>
      </c>
      <c r="J56" s="24">
        <v>2</v>
      </c>
      <c r="K56" s="24">
        <v>2</v>
      </c>
      <c r="L56" s="24">
        <v>0</v>
      </c>
      <c r="M56" s="24">
        <v>0</v>
      </c>
      <c r="N56" s="24">
        <v>0</v>
      </c>
      <c r="O56" s="24">
        <v>0</v>
      </c>
      <c r="P56" s="24">
        <v>0</v>
      </c>
      <c r="Q56" s="24">
        <v>3</v>
      </c>
      <c r="R56" s="24">
        <v>1</v>
      </c>
      <c r="S56" s="24">
        <v>0</v>
      </c>
      <c r="T56" s="24">
        <v>1</v>
      </c>
      <c r="U56" s="24">
        <v>0</v>
      </c>
      <c r="V56" s="24">
        <v>0</v>
      </c>
      <c r="W56" s="24">
        <v>2</v>
      </c>
      <c r="X56" s="24">
        <v>2</v>
      </c>
      <c r="Y56" s="6" t="s">
        <v>76</v>
      </c>
      <c r="Z56" s="24">
        <v>0</v>
      </c>
      <c r="AA56" s="24">
        <v>0</v>
      </c>
      <c r="AB56" s="24">
        <v>1</v>
      </c>
      <c r="AC56" s="24">
        <v>1</v>
      </c>
      <c r="AD56" s="24">
        <v>1</v>
      </c>
      <c r="AE56" s="24">
        <v>2</v>
      </c>
      <c r="AF56" s="24">
        <v>2</v>
      </c>
      <c r="AG56" s="24">
        <v>1</v>
      </c>
      <c r="AH56" s="24">
        <v>2</v>
      </c>
      <c r="AI56" s="24">
        <v>0</v>
      </c>
      <c r="AJ56" s="24">
        <v>1</v>
      </c>
      <c r="AK56" s="24">
        <v>1</v>
      </c>
      <c r="AL56" s="24">
        <v>3</v>
      </c>
      <c r="AM56" s="6" t="s">
        <v>76</v>
      </c>
      <c r="AN56" s="24">
        <v>2</v>
      </c>
      <c r="AO56" s="24">
        <v>2</v>
      </c>
      <c r="AP56" s="6" t="s">
        <v>76</v>
      </c>
      <c r="AQ56" s="24">
        <v>2</v>
      </c>
      <c r="AR56" s="24">
        <v>2</v>
      </c>
      <c r="AS56" s="24">
        <v>0</v>
      </c>
      <c r="AT56" s="24">
        <v>0</v>
      </c>
      <c r="AU56" s="6" t="s">
        <v>76</v>
      </c>
      <c r="AV56" s="24">
        <v>1</v>
      </c>
      <c r="AW56" s="24">
        <v>0</v>
      </c>
      <c r="AX56" s="24">
        <v>3</v>
      </c>
      <c r="AY56" s="6" t="s">
        <v>76</v>
      </c>
      <c r="AZ56" s="24">
        <v>3</v>
      </c>
      <c r="BA56" s="24">
        <v>0</v>
      </c>
      <c r="BB56" s="24">
        <v>2</v>
      </c>
      <c r="BC56" s="24">
        <v>2</v>
      </c>
      <c r="BD56" s="24">
        <v>2</v>
      </c>
      <c r="BE56" s="24">
        <v>2</v>
      </c>
      <c r="BF56" s="24">
        <v>0</v>
      </c>
      <c r="BG56" s="13">
        <f>IFERROR(AVERAGE(I56:Y56),"–")</f>
        <v>0.8125</v>
      </c>
      <c r="BH56" s="13">
        <f>IFERROR(AVERAGE(Z56:AM56),"–")</f>
        <v>1.1538461538461537</v>
      </c>
      <c r="BI56" s="13">
        <f>IFERROR(AVERAGE(AN56:AY56),"–")</f>
        <v>1.3333333333333333</v>
      </c>
      <c r="BJ56" s="13">
        <f>IFERROR(AVERAGE(AZ56:BA56),"–")</f>
        <v>1.5</v>
      </c>
      <c r="BK56" s="13">
        <f>IFERROR(AVERAGE(BB56:BF56),"–")</f>
        <v>1.6</v>
      </c>
      <c r="BL56" s="14">
        <f>IFERROR(AVERAGE(I56:BF56),"–")</f>
        <v>1.1333333333333333</v>
      </c>
      <c r="BM56" s="11">
        <f>COUNTIF(I56:BF56,0)</f>
        <v>17</v>
      </c>
    </row>
    <row r="57" spans="1:65">
      <c r="A57" s="3" t="s">
        <v>163</v>
      </c>
      <c r="B57" t="s">
        <v>197</v>
      </c>
      <c r="C57" t="s">
        <v>198</v>
      </c>
      <c r="D57" s="12">
        <v>0</v>
      </c>
      <c r="E57" t="s">
        <v>74</v>
      </c>
      <c r="F57" t="s">
        <v>160</v>
      </c>
      <c r="G57" s="23">
        <v>0.49</v>
      </c>
      <c r="I57" s="24">
        <v>0</v>
      </c>
      <c r="J57" s="24">
        <v>2</v>
      </c>
      <c r="K57" s="24">
        <v>2</v>
      </c>
      <c r="L57" s="24">
        <v>0</v>
      </c>
      <c r="M57" s="24">
        <v>0</v>
      </c>
      <c r="N57" s="24">
        <v>0</v>
      </c>
      <c r="O57" s="24">
        <v>0</v>
      </c>
      <c r="P57" s="24">
        <v>0</v>
      </c>
      <c r="Q57" s="24">
        <v>3</v>
      </c>
      <c r="R57" s="24">
        <v>1</v>
      </c>
      <c r="S57" s="24">
        <v>0</v>
      </c>
      <c r="T57" s="24">
        <v>1</v>
      </c>
      <c r="U57" s="24">
        <v>0</v>
      </c>
      <c r="V57" s="24">
        <v>0</v>
      </c>
      <c r="W57" s="24">
        <v>2</v>
      </c>
      <c r="X57" s="24">
        <v>2</v>
      </c>
      <c r="Y57" s="6" t="s">
        <v>76</v>
      </c>
      <c r="Z57" s="24">
        <v>0</v>
      </c>
      <c r="AA57" s="24">
        <v>0</v>
      </c>
      <c r="AB57" s="24">
        <v>1</v>
      </c>
      <c r="AC57" s="24">
        <v>1</v>
      </c>
      <c r="AD57" s="24">
        <v>1</v>
      </c>
      <c r="AE57" s="24">
        <v>2</v>
      </c>
      <c r="AF57" s="24">
        <v>2</v>
      </c>
      <c r="AG57" s="24">
        <v>1</v>
      </c>
      <c r="AH57" s="24">
        <v>2</v>
      </c>
      <c r="AI57" s="24">
        <v>0</v>
      </c>
      <c r="AJ57" s="24">
        <v>1</v>
      </c>
      <c r="AK57" s="24">
        <v>1</v>
      </c>
      <c r="AL57" s="24">
        <v>3</v>
      </c>
      <c r="AM57" s="6" t="s">
        <v>76</v>
      </c>
      <c r="AN57" s="24">
        <v>2</v>
      </c>
      <c r="AO57" s="24">
        <v>2</v>
      </c>
      <c r="AP57" s="6" t="s">
        <v>76</v>
      </c>
      <c r="AQ57" s="24">
        <v>2</v>
      </c>
      <c r="AR57" s="24">
        <v>2</v>
      </c>
      <c r="AS57" s="24">
        <v>0</v>
      </c>
      <c r="AT57" s="24">
        <v>0</v>
      </c>
      <c r="AU57" s="6" t="s">
        <v>76</v>
      </c>
      <c r="AV57" s="24">
        <v>1</v>
      </c>
      <c r="AW57" s="24">
        <v>0</v>
      </c>
      <c r="AX57" s="24">
        <v>3</v>
      </c>
      <c r="AY57" s="6" t="s">
        <v>76</v>
      </c>
      <c r="AZ57" s="24">
        <v>3</v>
      </c>
      <c r="BA57" s="24">
        <v>0</v>
      </c>
      <c r="BB57" s="24">
        <v>2</v>
      </c>
      <c r="BC57" s="24">
        <v>2</v>
      </c>
      <c r="BD57" s="24">
        <v>2</v>
      </c>
      <c r="BE57" s="24">
        <v>2</v>
      </c>
      <c r="BF57" s="24">
        <v>0</v>
      </c>
      <c r="BG57" s="13">
        <f>IFERROR(AVERAGE(I57:Y57),"–")</f>
        <v>0.8125</v>
      </c>
      <c r="BH57" s="13">
        <f>IFERROR(AVERAGE(Z57:AM57),"–")</f>
        <v>1.1538461538461537</v>
      </c>
      <c r="BI57" s="13">
        <f>IFERROR(AVERAGE(AN57:AY57),"–")</f>
        <v>1.3333333333333333</v>
      </c>
      <c r="BJ57" s="13">
        <f>IFERROR(AVERAGE(AZ57:BA57),"–")</f>
        <v>1.5</v>
      </c>
      <c r="BK57" s="13">
        <f>IFERROR(AVERAGE(BB57:BF57),"–")</f>
        <v>1.6</v>
      </c>
      <c r="BL57" s="14">
        <f>IFERROR(AVERAGE(I57:BF57),"–")</f>
        <v>1.1333333333333333</v>
      </c>
      <c r="BM57" s="11">
        <f>COUNTIF(I57:BF57,0)</f>
        <v>17</v>
      </c>
    </row>
    <row r="58" spans="1:65">
      <c r="A58" s="3" t="s">
        <v>163</v>
      </c>
      <c r="B58" t="s">
        <v>199</v>
      </c>
      <c r="C58" t="s">
        <v>200</v>
      </c>
      <c r="D58" s="12">
        <v>0</v>
      </c>
      <c r="E58" t="s">
        <v>74</v>
      </c>
      <c r="F58" t="s">
        <v>160</v>
      </c>
      <c r="G58" s="23">
        <v>0.49</v>
      </c>
      <c r="I58" s="24">
        <v>0</v>
      </c>
      <c r="J58" s="24">
        <v>2</v>
      </c>
      <c r="K58" s="24">
        <v>2</v>
      </c>
      <c r="L58" s="24">
        <v>0</v>
      </c>
      <c r="M58" s="24">
        <v>0</v>
      </c>
      <c r="N58" s="24">
        <v>0</v>
      </c>
      <c r="O58" s="24">
        <v>0</v>
      </c>
      <c r="P58" s="24">
        <v>0</v>
      </c>
      <c r="Q58" s="24">
        <v>3</v>
      </c>
      <c r="R58" s="24">
        <v>1</v>
      </c>
      <c r="S58" s="24">
        <v>0</v>
      </c>
      <c r="T58" s="24">
        <v>1</v>
      </c>
      <c r="U58" s="24">
        <v>0</v>
      </c>
      <c r="V58" s="24">
        <v>0</v>
      </c>
      <c r="W58" s="24">
        <v>2</v>
      </c>
      <c r="X58" s="24">
        <v>2</v>
      </c>
      <c r="Y58" s="6" t="s">
        <v>76</v>
      </c>
      <c r="Z58" s="24">
        <v>0</v>
      </c>
      <c r="AA58" s="24">
        <v>0</v>
      </c>
      <c r="AB58" s="24">
        <v>1</v>
      </c>
      <c r="AC58" s="24">
        <v>1</v>
      </c>
      <c r="AD58" s="24">
        <v>1</v>
      </c>
      <c r="AE58" s="24">
        <v>2</v>
      </c>
      <c r="AF58" s="24">
        <v>2</v>
      </c>
      <c r="AG58" s="24">
        <v>1</v>
      </c>
      <c r="AH58" s="24">
        <v>2</v>
      </c>
      <c r="AI58" s="24">
        <v>0</v>
      </c>
      <c r="AJ58" s="24">
        <v>1</v>
      </c>
      <c r="AK58" s="24">
        <v>1</v>
      </c>
      <c r="AL58" s="24">
        <v>3</v>
      </c>
      <c r="AM58" s="6" t="s">
        <v>76</v>
      </c>
      <c r="AN58" s="24">
        <v>2</v>
      </c>
      <c r="AO58" s="24">
        <v>2</v>
      </c>
      <c r="AP58" s="6" t="s">
        <v>76</v>
      </c>
      <c r="AQ58" s="24">
        <v>2</v>
      </c>
      <c r="AR58" s="24">
        <v>2</v>
      </c>
      <c r="AS58" s="24">
        <v>0</v>
      </c>
      <c r="AT58" s="24">
        <v>0</v>
      </c>
      <c r="AU58" s="6" t="s">
        <v>76</v>
      </c>
      <c r="AV58" s="24">
        <v>1</v>
      </c>
      <c r="AW58" s="24">
        <v>0</v>
      </c>
      <c r="AX58" s="24">
        <v>3</v>
      </c>
      <c r="AY58" s="6" t="s">
        <v>76</v>
      </c>
      <c r="AZ58" s="24">
        <v>3</v>
      </c>
      <c r="BA58" s="24">
        <v>0</v>
      </c>
      <c r="BB58" s="24">
        <v>2</v>
      </c>
      <c r="BC58" s="24">
        <v>2</v>
      </c>
      <c r="BD58" s="24">
        <v>2</v>
      </c>
      <c r="BE58" s="24">
        <v>2</v>
      </c>
      <c r="BF58" s="24">
        <v>0</v>
      </c>
      <c r="BG58" s="13">
        <f>IFERROR(AVERAGE(I58:Y58),"–")</f>
        <v>0.8125</v>
      </c>
      <c r="BH58" s="13">
        <f>IFERROR(AVERAGE(Z58:AM58),"–")</f>
        <v>1.1538461538461537</v>
      </c>
      <c r="BI58" s="13">
        <f>IFERROR(AVERAGE(AN58:AY58),"–")</f>
        <v>1.3333333333333333</v>
      </c>
      <c r="BJ58" s="13">
        <f>IFERROR(AVERAGE(AZ58:BA58),"–")</f>
        <v>1.5</v>
      </c>
      <c r="BK58" s="13">
        <f>IFERROR(AVERAGE(BB58:BF58),"–")</f>
        <v>1.6</v>
      </c>
      <c r="BL58" s="14">
        <f>IFERROR(AVERAGE(I58:BF58),"–")</f>
        <v>1.1333333333333333</v>
      </c>
      <c r="BM58" s="11">
        <f>COUNTIF(I58:BF58,0)</f>
        <v>17</v>
      </c>
    </row>
    <row r="59" spans="1:65">
      <c r="A59" s="3" t="s">
        <v>163</v>
      </c>
      <c r="B59" t="s">
        <v>201</v>
      </c>
      <c r="C59" t="s">
        <v>202</v>
      </c>
      <c r="D59" s="12">
        <v>0</v>
      </c>
      <c r="E59" t="s">
        <v>74</v>
      </c>
      <c r="F59" t="s">
        <v>160</v>
      </c>
      <c r="G59" s="23">
        <v>0.47</v>
      </c>
      <c r="H59" t="s">
        <v>203</v>
      </c>
      <c r="I59" s="24">
        <v>0</v>
      </c>
      <c r="J59" s="24">
        <v>2</v>
      </c>
      <c r="K59" s="24">
        <v>2</v>
      </c>
      <c r="L59" s="24">
        <v>0</v>
      </c>
      <c r="M59" s="24">
        <v>0</v>
      </c>
      <c r="N59" s="24">
        <v>0</v>
      </c>
      <c r="O59" s="24">
        <v>0</v>
      </c>
      <c r="P59" s="24">
        <v>0</v>
      </c>
      <c r="Q59" s="24">
        <v>3</v>
      </c>
      <c r="R59" s="24">
        <v>1</v>
      </c>
      <c r="S59" s="24">
        <v>0</v>
      </c>
      <c r="T59" s="24">
        <v>1</v>
      </c>
      <c r="U59" s="24">
        <v>0</v>
      </c>
      <c r="V59" s="24">
        <v>0</v>
      </c>
      <c r="W59" s="24">
        <v>2</v>
      </c>
      <c r="X59" s="24">
        <v>2</v>
      </c>
      <c r="Y59" s="6" t="s">
        <v>76</v>
      </c>
      <c r="Z59" s="24">
        <v>0</v>
      </c>
      <c r="AA59" s="24">
        <v>0</v>
      </c>
      <c r="AB59" s="24">
        <v>1</v>
      </c>
      <c r="AC59" s="24">
        <v>2</v>
      </c>
      <c r="AD59" s="24">
        <v>1</v>
      </c>
      <c r="AE59" s="24">
        <v>2</v>
      </c>
      <c r="AF59" s="24">
        <v>2</v>
      </c>
      <c r="AG59" s="24">
        <v>1</v>
      </c>
      <c r="AH59" s="24">
        <v>2</v>
      </c>
      <c r="AI59" s="24">
        <v>0</v>
      </c>
      <c r="AJ59" s="24">
        <v>1</v>
      </c>
      <c r="AK59" s="24">
        <v>1</v>
      </c>
      <c r="AL59" s="24">
        <v>3</v>
      </c>
      <c r="AM59" s="6" t="s">
        <v>76</v>
      </c>
      <c r="AN59" s="24">
        <v>2</v>
      </c>
      <c r="AO59" s="24">
        <v>2</v>
      </c>
      <c r="AP59" s="6" t="s">
        <v>76</v>
      </c>
      <c r="AQ59" s="24">
        <v>2</v>
      </c>
      <c r="AR59" s="24">
        <v>2</v>
      </c>
      <c r="AS59" s="24">
        <v>0</v>
      </c>
      <c r="AT59" s="24">
        <v>0</v>
      </c>
      <c r="AU59" s="24">
        <v>2</v>
      </c>
      <c r="AV59" s="24">
        <v>1</v>
      </c>
      <c r="AW59" s="24">
        <v>0</v>
      </c>
      <c r="AX59" s="6" t="s">
        <v>76</v>
      </c>
      <c r="AY59" s="6" t="s">
        <v>76</v>
      </c>
      <c r="AZ59" s="24">
        <v>3</v>
      </c>
      <c r="BA59" s="24">
        <v>0</v>
      </c>
      <c r="BB59" s="24">
        <v>2</v>
      </c>
      <c r="BC59" s="24">
        <v>2</v>
      </c>
      <c r="BD59" s="24">
        <v>2</v>
      </c>
      <c r="BE59" s="24">
        <v>2</v>
      </c>
      <c r="BF59" s="24">
        <v>0</v>
      </c>
      <c r="BG59" s="13">
        <f>IFERROR(AVERAGE(I59:Y59),"–")</f>
        <v>0.8125</v>
      </c>
      <c r="BH59" s="13">
        <f>IFERROR(AVERAGE(Z59:AM59),"–")</f>
        <v>1.2307692307692308</v>
      </c>
      <c r="BI59" s="13">
        <f>IFERROR(AVERAGE(AN59:AY59),"–")</f>
        <v>1.2222222222222223</v>
      </c>
      <c r="BJ59" s="13">
        <f>IFERROR(AVERAGE(AZ59:BA59),"–")</f>
        <v>1.5</v>
      </c>
      <c r="BK59" s="13">
        <f>IFERROR(AVERAGE(BB59:BF59),"–")</f>
        <v>1.6</v>
      </c>
      <c r="BL59" s="14">
        <f>IFERROR(AVERAGE(I59:BF59),"–")</f>
        <v>1.1333333333333333</v>
      </c>
      <c r="BM59" s="11">
        <f>COUNTIF(I59:BF59,0)</f>
        <v>17</v>
      </c>
    </row>
    <row r="60" spans="1:65">
      <c r="A60" s="3" t="s">
        <v>163</v>
      </c>
      <c r="B60" t="s">
        <v>204</v>
      </c>
      <c r="C60" t="s">
        <v>205</v>
      </c>
      <c r="D60" s="12">
        <v>0</v>
      </c>
      <c r="E60" t="s">
        <v>74</v>
      </c>
      <c r="F60" t="s">
        <v>160</v>
      </c>
      <c r="G60" s="23">
        <v>0.49</v>
      </c>
      <c r="I60" s="24">
        <v>0</v>
      </c>
      <c r="J60" s="24">
        <v>2</v>
      </c>
      <c r="K60" s="24">
        <v>2</v>
      </c>
      <c r="L60" s="24">
        <v>0</v>
      </c>
      <c r="M60" s="24">
        <v>0</v>
      </c>
      <c r="N60" s="24">
        <v>0</v>
      </c>
      <c r="O60" s="24">
        <v>0</v>
      </c>
      <c r="P60" s="24">
        <v>0</v>
      </c>
      <c r="Q60" s="24">
        <v>3</v>
      </c>
      <c r="R60" s="24">
        <v>1</v>
      </c>
      <c r="S60" s="24">
        <v>0</v>
      </c>
      <c r="T60" s="24">
        <v>1</v>
      </c>
      <c r="U60" s="24">
        <v>0</v>
      </c>
      <c r="V60" s="24">
        <v>0</v>
      </c>
      <c r="W60" s="24">
        <v>2</v>
      </c>
      <c r="X60" s="24">
        <v>2</v>
      </c>
      <c r="Y60" s="6" t="s">
        <v>76</v>
      </c>
      <c r="Z60" s="24">
        <v>0</v>
      </c>
      <c r="AA60" s="24">
        <v>0</v>
      </c>
      <c r="AB60" s="24">
        <v>1</v>
      </c>
      <c r="AC60" s="24">
        <v>1</v>
      </c>
      <c r="AD60" s="24">
        <v>1</v>
      </c>
      <c r="AE60" s="24">
        <v>2</v>
      </c>
      <c r="AF60" s="24">
        <v>2</v>
      </c>
      <c r="AG60" s="24">
        <v>1</v>
      </c>
      <c r="AH60" s="24">
        <v>2</v>
      </c>
      <c r="AI60" s="24">
        <v>0</v>
      </c>
      <c r="AJ60" s="24">
        <v>1</v>
      </c>
      <c r="AK60" s="24">
        <v>1</v>
      </c>
      <c r="AL60" s="24">
        <v>3</v>
      </c>
      <c r="AM60" s="6" t="s">
        <v>76</v>
      </c>
      <c r="AN60" s="24">
        <v>2</v>
      </c>
      <c r="AO60" s="24">
        <v>2</v>
      </c>
      <c r="AP60" s="6" t="s">
        <v>76</v>
      </c>
      <c r="AQ60" s="24">
        <v>2</v>
      </c>
      <c r="AR60" s="24">
        <v>2</v>
      </c>
      <c r="AS60" s="24">
        <v>0</v>
      </c>
      <c r="AT60" s="24">
        <v>0</v>
      </c>
      <c r="AU60" s="6" t="s">
        <v>76</v>
      </c>
      <c r="AV60" s="24">
        <v>1</v>
      </c>
      <c r="AW60" s="24">
        <v>0</v>
      </c>
      <c r="AX60" s="24">
        <v>3</v>
      </c>
      <c r="AY60" s="6" t="s">
        <v>76</v>
      </c>
      <c r="AZ60" s="24">
        <v>3</v>
      </c>
      <c r="BA60" s="24">
        <v>0</v>
      </c>
      <c r="BB60" s="24">
        <v>2</v>
      </c>
      <c r="BC60" s="24">
        <v>2</v>
      </c>
      <c r="BD60" s="24">
        <v>2</v>
      </c>
      <c r="BE60" s="24">
        <v>2</v>
      </c>
      <c r="BF60" s="24">
        <v>0</v>
      </c>
      <c r="BG60" s="13">
        <f>IFERROR(AVERAGE(I60:Y60),"–")</f>
        <v>0.8125</v>
      </c>
      <c r="BH60" s="13">
        <f>IFERROR(AVERAGE(Z60:AM60),"–")</f>
        <v>1.1538461538461537</v>
      </c>
      <c r="BI60" s="13">
        <f>IFERROR(AVERAGE(AN60:AY60),"–")</f>
        <v>1.3333333333333333</v>
      </c>
      <c r="BJ60" s="13">
        <f>IFERROR(AVERAGE(AZ60:BA60),"–")</f>
        <v>1.5</v>
      </c>
      <c r="BK60" s="13">
        <f>IFERROR(AVERAGE(BB60:BF60),"–")</f>
        <v>1.6</v>
      </c>
      <c r="BL60" s="14">
        <f>IFERROR(AVERAGE(I60:BF60),"–")</f>
        <v>1.1333333333333333</v>
      </c>
      <c r="BM60" s="11">
        <f>COUNTIF(I60:BF60,0)</f>
        <v>17</v>
      </c>
    </row>
    <row r="61" spans="1:65">
      <c r="A61" s="3" t="s">
        <v>163</v>
      </c>
      <c r="B61" t="s">
        <v>206</v>
      </c>
      <c r="C61" t="s">
        <v>207</v>
      </c>
      <c r="D61" s="12">
        <v>0</v>
      </c>
      <c r="E61" t="s">
        <v>74</v>
      </c>
      <c r="F61" t="s">
        <v>160</v>
      </c>
      <c r="G61" s="23">
        <v>0.49</v>
      </c>
      <c r="I61" s="24">
        <v>0</v>
      </c>
      <c r="J61" s="24">
        <v>2</v>
      </c>
      <c r="K61" s="24">
        <v>2</v>
      </c>
      <c r="L61" s="24">
        <v>0</v>
      </c>
      <c r="M61" s="24">
        <v>0</v>
      </c>
      <c r="N61" s="24">
        <v>0</v>
      </c>
      <c r="O61" s="24">
        <v>0</v>
      </c>
      <c r="P61" s="24">
        <v>0</v>
      </c>
      <c r="Q61" s="24">
        <v>3</v>
      </c>
      <c r="R61" s="24">
        <v>1</v>
      </c>
      <c r="S61" s="24">
        <v>0</v>
      </c>
      <c r="T61" s="24">
        <v>1</v>
      </c>
      <c r="U61" s="24">
        <v>0</v>
      </c>
      <c r="V61" s="24">
        <v>0</v>
      </c>
      <c r="W61" s="24">
        <v>2</v>
      </c>
      <c r="X61" s="24">
        <v>2</v>
      </c>
      <c r="Y61" s="6" t="s">
        <v>76</v>
      </c>
      <c r="Z61" s="24">
        <v>0</v>
      </c>
      <c r="AA61" s="24">
        <v>0</v>
      </c>
      <c r="AB61" s="24">
        <v>1</v>
      </c>
      <c r="AC61" s="24">
        <v>1</v>
      </c>
      <c r="AD61" s="24">
        <v>1</v>
      </c>
      <c r="AE61" s="24">
        <v>2</v>
      </c>
      <c r="AF61" s="24">
        <v>2</v>
      </c>
      <c r="AG61" s="24">
        <v>1</v>
      </c>
      <c r="AH61" s="24">
        <v>2</v>
      </c>
      <c r="AI61" s="24">
        <v>0</v>
      </c>
      <c r="AJ61" s="24">
        <v>1</v>
      </c>
      <c r="AK61" s="24">
        <v>1</v>
      </c>
      <c r="AL61" s="24">
        <v>3</v>
      </c>
      <c r="AM61" s="6" t="s">
        <v>76</v>
      </c>
      <c r="AN61" s="24">
        <v>2</v>
      </c>
      <c r="AO61" s="24">
        <v>2</v>
      </c>
      <c r="AP61" s="6" t="s">
        <v>76</v>
      </c>
      <c r="AQ61" s="24">
        <v>2</v>
      </c>
      <c r="AR61" s="24">
        <v>2</v>
      </c>
      <c r="AS61" s="24">
        <v>0</v>
      </c>
      <c r="AT61" s="24">
        <v>0</v>
      </c>
      <c r="AU61" s="6" t="s">
        <v>76</v>
      </c>
      <c r="AV61" s="24">
        <v>1</v>
      </c>
      <c r="AW61" s="24">
        <v>0</v>
      </c>
      <c r="AX61" s="24">
        <v>3</v>
      </c>
      <c r="AY61" s="6" t="s">
        <v>76</v>
      </c>
      <c r="AZ61" s="24">
        <v>3</v>
      </c>
      <c r="BA61" s="24">
        <v>0</v>
      </c>
      <c r="BB61" s="24">
        <v>2</v>
      </c>
      <c r="BC61" s="24">
        <v>2</v>
      </c>
      <c r="BD61" s="24">
        <v>2</v>
      </c>
      <c r="BE61" s="24">
        <v>2</v>
      </c>
      <c r="BF61" s="24">
        <v>0</v>
      </c>
      <c r="BG61" s="13">
        <f>IFERROR(AVERAGE(I61:Y61),"–")</f>
        <v>0.8125</v>
      </c>
      <c r="BH61" s="13">
        <f>IFERROR(AVERAGE(Z61:AM61),"–")</f>
        <v>1.1538461538461537</v>
      </c>
      <c r="BI61" s="13">
        <f>IFERROR(AVERAGE(AN61:AY61),"–")</f>
        <v>1.3333333333333333</v>
      </c>
      <c r="BJ61" s="13">
        <f>IFERROR(AVERAGE(AZ61:BA61),"–")</f>
        <v>1.5</v>
      </c>
      <c r="BK61" s="13">
        <f>IFERROR(AVERAGE(BB61:BF61),"–")</f>
        <v>1.6</v>
      </c>
      <c r="BL61" s="14">
        <f>IFERROR(AVERAGE(I61:BF61),"–")</f>
        <v>1.1333333333333333</v>
      </c>
      <c r="BM61" s="11">
        <f>COUNTIF(I61:BF61,0)</f>
        <v>17</v>
      </c>
    </row>
    <row r="62" spans="1:65">
      <c r="A62" s="3" t="s">
        <v>163</v>
      </c>
      <c r="B62" t="s">
        <v>208</v>
      </c>
      <c r="C62" t="s">
        <v>209</v>
      </c>
      <c r="D62" s="12">
        <v>0</v>
      </c>
      <c r="E62" t="s">
        <v>74</v>
      </c>
      <c r="F62" t="s">
        <v>160</v>
      </c>
      <c r="G62" s="23">
        <v>0.49</v>
      </c>
      <c r="I62" s="24">
        <v>0</v>
      </c>
      <c r="J62" s="24">
        <v>2</v>
      </c>
      <c r="K62" s="24">
        <v>2</v>
      </c>
      <c r="L62" s="24">
        <v>0</v>
      </c>
      <c r="M62" s="24">
        <v>0</v>
      </c>
      <c r="N62" s="24">
        <v>0</v>
      </c>
      <c r="O62" s="24">
        <v>0</v>
      </c>
      <c r="P62" s="24">
        <v>0</v>
      </c>
      <c r="Q62" s="24">
        <v>3</v>
      </c>
      <c r="R62" s="24">
        <v>1</v>
      </c>
      <c r="S62" s="24">
        <v>0</v>
      </c>
      <c r="T62" s="24">
        <v>1</v>
      </c>
      <c r="U62" s="24">
        <v>0</v>
      </c>
      <c r="V62" s="24">
        <v>0</v>
      </c>
      <c r="W62" s="24">
        <v>2</v>
      </c>
      <c r="X62" s="24">
        <v>2</v>
      </c>
      <c r="Y62" s="6" t="s">
        <v>76</v>
      </c>
      <c r="Z62" s="24">
        <v>0</v>
      </c>
      <c r="AA62" s="24">
        <v>0</v>
      </c>
      <c r="AB62" s="24">
        <v>1</v>
      </c>
      <c r="AC62" s="24">
        <v>1</v>
      </c>
      <c r="AD62" s="24">
        <v>1</v>
      </c>
      <c r="AE62" s="24">
        <v>2</v>
      </c>
      <c r="AF62" s="24">
        <v>2</v>
      </c>
      <c r="AG62" s="24">
        <v>1</v>
      </c>
      <c r="AH62" s="24">
        <v>2</v>
      </c>
      <c r="AI62" s="24">
        <v>0</v>
      </c>
      <c r="AJ62" s="24">
        <v>1</v>
      </c>
      <c r="AK62" s="24">
        <v>1</v>
      </c>
      <c r="AL62" s="24">
        <v>3</v>
      </c>
      <c r="AM62" s="6" t="s">
        <v>76</v>
      </c>
      <c r="AN62" s="24">
        <v>2</v>
      </c>
      <c r="AO62" s="24">
        <v>2</v>
      </c>
      <c r="AP62" s="6" t="s">
        <v>76</v>
      </c>
      <c r="AQ62" s="24">
        <v>2</v>
      </c>
      <c r="AR62" s="24">
        <v>2</v>
      </c>
      <c r="AS62" s="24">
        <v>0</v>
      </c>
      <c r="AT62" s="24">
        <v>0</v>
      </c>
      <c r="AU62" s="6" t="s">
        <v>76</v>
      </c>
      <c r="AV62" s="24">
        <v>1</v>
      </c>
      <c r="AW62" s="24">
        <v>0</v>
      </c>
      <c r="AX62" s="24">
        <v>3</v>
      </c>
      <c r="AY62" s="6" t="s">
        <v>76</v>
      </c>
      <c r="AZ62" s="24">
        <v>3</v>
      </c>
      <c r="BA62" s="24">
        <v>0</v>
      </c>
      <c r="BB62" s="24">
        <v>2</v>
      </c>
      <c r="BC62" s="24">
        <v>2</v>
      </c>
      <c r="BD62" s="24">
        <v>2</v>
      </c>
      <c r="BE62" s="24">
        <v>2</v>
      </c>
      <c r="BF62" s="24">
        <v>0</v>
      </c>
      <c r="BG62" s="13">
        <f>IFERROR(AVERAGE(I62:Y62),"–")</f>
        <v>0.8125</v>
      </c>
      <c r="BH62" s="13">
        <f>IFERROR(AVERAGE(Z62:AM62),"–")</f>
        <v>1.1538461538461537</v>
      </c>
      <c r="BI62" s="13">
        <f>IFERROR(AVERAGE(AN62:AY62),"–")</f>
        <v>1.3333333333333333</v>
      </c>
      <c r="BJ62" s="13">
        <f>IFERROR(AVERAGE(AZ62:BA62),"–")</f>
        <v>1.5</v>
      </c>
      <c r="BK62" s="13">
        <f>IFERROR(AVERAGE(BB62:BF62),"–")</f>
        <v>1.6</v>
      </c>
      <c r="BL62" s="14">
        <f>IFERROR(AVERAGE(I62:BF62),"–")</f>
        <v>1.1333333333333333</v>
      </c>
      <c r="BM62" s="11">
        <f>COUNTIF(I62:BF62,0)</f>
        <v>17</v>
      </c>
    </row>
    <row r="63" spans="1:65">
      <c r="A63" s="3" t="s">
        <v>163</v>
      </c>
      <c r="B63" t="s">
        <v>210</v>
      </c>
      <c r="C63" t="s">
        <v>211</v>
      </c>
      <c r="D63" s="12">
        <v>0</v>
      </c>
      <c r="E63" t="s">
        <v>74</v>
      </c>
      <c r="F63" t="s">
        <v>160</v>
      </c>
      <c r="G63" s="23">
        <v>0.49</v>
      </c>
      <c r="I63" s="24">
        <v>0</v>
      </c>
      <c r="J63" s="24">
        <v>2</v>
      </c>
      <c r="K63" s="24">
        <v>2</v>
      </c>
      <c r="L63" s="24">
        <v>0</v>
      </c>
      <c r="M63" s="24">
        <v>0</v>
      </c>
      <c r="N63" s="24">
        <v>0</v>
      </c>
      <c r="O63" s="24">
        <v>0</v>
      </c>
      <c r="P63" s="24">
        <v>0</v>
      </c>
      <c r="Q63" s="24">
        <v>3</v>
      </c>
      <c r="R63" s="24">
        <v>1</v>
      </c>
      <c r="S63" s="24">
        <v>0</v>
      </c>
      <c r="T63" s="24">
        <v>1</v>
      </c>
      <c r="U63" s="24">
        <v>0</v>
      </c>
      <c r="V63" s="24">
        <v>0</v>
      </c>
      <c r="W63" s="24">
        <v>2</v>
      </c>
      <c r="X63" s="24">
        <v>2</v>
      </c>
      <c r="Y63" s="6" t="s">
        <v>76</v>
      </c>
      <c r="Z63" s="24">
        <v>0</v>
      </c>
      <c r="AA63" s="24">
        <v>0</v>
      </c>
      <c r="AB63" s="24">
        <v>1</v>
      </c>
      <c r="AC63" s="24">
        <v>1</v>
      </c>
      <c r="AD63" s="24">
        <v>1</v>
      </c>
      <c r="AE63" s="24">
        <v>2</v>
      </c>
      <c r="AF63" s="24">
        <v>2</v>
      </c>
      <c r="AG63" s="24">
        <v>1</v>
      </c>
      <c r="AH63" s="24">
        <v>2</v>
      </c>
      <c r="AI63" s="24">
        <v>0</v>
      </c>
      <c r="AJ63" s="24">
        <v>1</v>
      </c>
      <c r="AK63" s="24">
        <v>1</v>
      </c>
      <c r="AL63" s="24">
        <v>3</v>
      </c>
      <c r="AM63" s="6" t="s">
        <v>76</v>
      </c>
      <c r="AN63" s="24">
        <v>2</v>
      </c>
      <c r="AO63" s="24">
        <v>2</v>
      </c>
      <c r="AP63" s="6" t="s">
        <v>76</v>
      </c>
      <c r="AQ63" s="24">
        <v>2</v>
      </c>
      <c r="AR63" s="24">
        <v>2</v>
      </c>
      <c r="AS63" s="24">
        <v>0</v>
      </c>
      <c r="AT63" s="24">
        <v>0</v>
      </c>
      <c r="AU63" s="6" t="s">
        <v>76</v>
      </c>
      <c r="AV63" s="24">
        <v>1</v>
      </c>
      <c r="AW63" s="24">
        <v>0</v>
      </c>
      <c r="AX63" s="24">
        <v>3</v>
      </c>
      <c r="AY63" s="6" t="s">
        <v>76</v>
      </c>
      <c r="AZ63" s="24">
        <v>3</v>
      </c>
      <c r="BA63" s="24">
        <v>0</v>
      </c>
      <c r="BB63" s="24">
        <v>2</v>
      </c>
      <c r="BC63" s="24">
        <v>2</v>
      </c>
      <c r="BD63" s="24">
        <v>2</v>
      </c>
      <c r="BE63" s="24">
        <v>2</v>
      </c>
      <c r="BF63" s="24">
        <v>0</v>
      </c>
      <c r="BG63" s="13">
        <f>IFERROR(AVERAGE(I63:Y63),"–")</f>
        <v>0.8125</v>
      </c>
      <c r="BH63" s="13">
        <f>IFERROR(AVERAGE(Z63:AM63),"–")</f>
        <v>1.1538461538461537</v>
      </c>
      <c r="BI63" s="13">
        <f>IFERROR(AVERAGE(AN63:AY63),"–")</f>
        <v>1.3333333333333333</v>
      </c>
      <c r="BJ63" s="13">
        <f>IFERROR(AVERAGE(AZ63:BA63),"–")</f>
        <v>1.5</v>
      </c>
      <c r="BK63" s="13">
        <f>IFERROR(AVERAGE(BB63:BF63),"–")</f>
        <v>1.6</v>
      </c>
      <c r="BL63" s="14">
        <f>IFERROR(AVERAGE(I63:BF63),"–")</f>
        <v>1.1333333333333333</v>
      </c>
      <c r="BM63" s="11">
        <f>COUNTIF(I63:BF63,0)</f>
        <v>17</v>
      </c>
    </row>
    <row r="64" spans="1:65">
      <c r="A64" s="3" t="s">
        <v>163</v>
      </c>
      <c r="B64" t="s">
        <v>212</v>
      </c>
      <c r="C64" t="s">
        <v>213</v>
      </c>
      <c r="D64" s="12">
        <v>0</v>
      </c>
      <c r="E64" t="s">
        <v>74</v>
      </c>
      <c r="F64" t="s">
        <v>160</v>
      </c>
      <c r="G64" s="23">
        <v>0.49</v>
      </c>
      <c r="I64" s="24">
        <v>0</v>
      </c>
      <c r="J64" s="24">
        <v>2</v>
      </c>
      <c r="K64" s="24">
        <v>2</v>
      </c>
      <c r="L64" s="24">
        <v>0</v>
      </c>
      <c r="M64" s="24">
        <v>0</v>
      </c>
      <c r="N64" s="24">
        <v>0</v>
      </c>
      <c r="O64" s="24">
        <v>0</v>
      </c>
      <c r="P64" s="24">
        <v>0</v>
      </c>
      <c r="Q64" s="24">
        <v>3</v>
      </c>
      <c r="R64" s="24">
        <v>1</v>
      </c>
      <c r="S64" s="24">
        <v>0</v>
      </c>
      <c r="T64" s="24">
        <v>1</v>
      </c>
      <c r="U64" s="24">
        <v>0</v>
      </c>
      <c r="V64" s="24">
        <v>0</v>
      </c>
      <c r="W64" s="24">
        <v>2</v>
      </c>
      <c r="X64" s="24">
        <v>2</v>
      </c>
      <c r="Y64" s="6" t="s">
        <v>76</v>
      </c>
      <c r="Z64" s="24">
        <v>0</v>
      </c>
      <c r="AA64" s="24">
        <v>0</v>
      </c>
      <c r="AB64" s="24">
        <v>1</v>
      </c>
      <c r="AC64" s="24">
        <v>1</v>
      </c>
      <c r="AD64" s="24">
        <v>1</v>
      </c>
      <c r="AE64" s="24">
        <v>2</v>
      </c>
      <c r="AF64" s="24">
        <v>2</v>
      </c>
      <c r="AG64" s="24">
        <v>1</v>
      </c>
      <c r="AH64" s="24">
        <v>2</v>
      </c>
      <c r="AI64" s="24">
        <v>0</v>
      </c>
      <c r="AJ64" s="24">
        <v>1</v>
      </c>
      <c r="AK64" s="24">
        <v>1</v>
      </c>
      <c r="AL64" s="24">
        <v>3</v>
      </c>
      <c r="AM64" s="6" t="s">
        <v>76</v>
      </c>
      <c r="AN64" s="24">
        <v>2</v>
      </c>
      <c r="AO64" s="24">
        <v>2</v>
      </c>
      <c r="AP64" s="6" t="s">
        <v>76</v>
      </c>
      <c r="AQ64" s="24">
        <v>2</v>
      </c>
      <c r="AR64" s="24">
        <v>2</v>
      </c>
      <c r="AS64" s="24">
        <v>0</v>
      </c>
      <c r="AT64" s="24">
        <v>0</v>
      </c>
      <c r="AU64" s="6" t="s">
        <v>76</v>
      </c>
      <c r="AV64" s="24">
        <v>1</v>
      </c>
      <c r="AW64" s="24">
        <v>0</v>
      </c>
      <c r="AX64" s="24">
        <v>3</v>
      </c>
      <c r="AY64" s="6" t="s">
        <v>76</v>
      </c>
      <c r="AZ64" s="24">
        <v>3</v>
      </c>
      <c r="BA64" s="24">
        <v>0</v>
      </c>
      <c r="BB64" s="24">
        <v>2</v>
      </c>
      <c r="BC64" s="24">
        <v>2</v>
      </c>
      <c r="BD64" s="24">
        <v>2</v>
      </c>
      <c r="BE64" s="24">
        <v>2</v>
      </c>
      <c r="BF64" s="24">
        <v>0</v>
      </c>
      <c r="BG64" s="13">
        <f>IFERROR(AVERAGE(I64:Y64),"–")</f>
        <v>0.8125</v>
      </c>
      <c r="BH64" s="13">
        <f>IFERROR(AVERAGE(Z64:AM64),"–")</f>
        <v>1.1538461538461537</v>
      </c>
      <c r="BI64" s="13">
        <f>IFERROR(AVERAGE(AN64:AY64),"–")</f>
        <v>1.3333333333333333</v>
      </c>
      <c r="BJ64" s="13">
        <f>IFERROR(AVERAGE(AZ64:BA64),"–")</f>
        <v>1.5</v>
      </c>
      <c r="BK64" s="13">
        <f>IFERROR(AVERAGE(BB64:BF64),"–")</f>
        <v>1.6</v>
      </c>
      <c r="BL64" s="14">
        <f>IFERROR(AVERAGE(I64:BF64),"–")</f>
        <v>1.1333333333333333</v>
      </c>
      <c r="BM64" s="11">
        <f>COUNTIF(I64:BF64,0)</f>
        <v>17</v>
      </c>
    </row>
    <row r="65" spans="1:65">
      <c r="A65" s="3" t="s">
        <v>163</v>
      </c>
      <c r="B65" t="s">
        <v>214</v>
      </c>
      <c r="C65" t="s">
        <v>215</v>
      </c>
      <c r="D65" s="12">
        <v>0</v>
      </c>
      <c r="E65" t="s">
        <v>74</v>
      </c>
      <c r="F65" t="s">
        <v>160</v>
      </c>
      <c r="G65" s="23">
        <v>0.49</v>
      </c>
      <c r="I65" s="24">
        <v>0</v>
      </c>
      <c r="J65" s="24">
        <v>2</v>
      </c>
      <c r="K65" s="24">
        <v>2</v>
      </c>
      <c r="L65" s="24">
        <v>0</v>
      </c>
      <c r="M65" s="24">
        <v>0</v>
      </c>
      <c r="N65" s="24">
        <v>0</v>
      </c>
      <c r="O65" s="24">
        <v>0</v>
      </c>
      <c r="P65" s="24">
        <v>0</v>
      </c>
      <c r="Q65" s="24">
        <v>3</v>
      </c>
      <c r="R65" s="24">
        <v>1</v>
      </c>
      <c r="S65" s="24">
        <v>0</v>
      </c>
      <c r="T65" s="24">
        <v>1</v>
      </c>
      <c r="U65" s="24">
        <v>0</v>
      </c>
      <c r="V65" s="24">
        <v>0</v>
      </c>
      <c r="W65" s="24">
        <v>2</v>
      </c>
      <c r="X65" s="24">
        <v>2</v>
      </c>
      <c r="Y65" s="6" t="s">
        <v>76</v>
      </c>
      <c r="Z65" s="24">
        <v>0</v>
      </c>
      <c r="AA65" s="24">
        <v>0</v>
      </c>
      <c r="AB65" s="24">
        <v>1</v>
      </c>
      <c r="AC65" s="24">
        <v>1</v>
      </c>
      <c r="AD65" s="24">
        <v>1</v>
      </c>
      <c r="AE65" s="24">
        <v>2</v>
      </c>
      <c r="AF65" s="24">
        <v>2</v>
      </c>
      <c r="AG65" s="24">
        <v>1</v>
      </c>
      <c r="AH65" s="24">
        <v>2</v>
      </c>
      <c r="AI65" s="24">
        <v>0</v>
      </c>
      <c r="AJ65" s="24">
        <v>1</v>
      </c>
      <c r="AK65" s="24">
        <v>1</v>
      </c>
      <c r="AL65" s="24">
        <v>3</v>
      </c>
      <c r="AM65" s="6" t="s">
        <v>76</v>
      </c>
      <c r="AN65" s="24">
        <v>2</v>
      </c>
      <c r="AO65" s="24">
        <v>2</v>
      </c>
      <c r="AP65" s="6" t="s">
        <v>76</v>
      </c>
      <c r="AQ65" s="24">
        <v>2</v>
      </c>
      <c r="AR65" s="24">
        <v>2</v>
      </c>
      <c r="AS65" s="24">
        <v>0</v>
      </c>
      <c r="AT65" s="24">
        <v>0</v>
      </c>
      <c r="AU65" s="6" t="s">
        <v>76</v>
      </c>
      <c r="AV65" s="24">
        <v>1</v>
      </c>
      <c r="AW65" s="24">
        <v>0</v>
      </c>
      <c r="AX65" s="24">
        <v>3</v>
      </c>
      <c r="AY65" s="6" t="s">
        <v>76</v>
      </c>
      <c r="AZ65" s="24">
        <v>3</v>
      </c>
      <c r="BA65" s="24">
        <v>0</v>
      </c>
      <c r="BB65" s="24">
        <v>2</v>
      </c>
      <c r="BC65" s="24">
        <v>2</v>
      </c>
      <c r="BD65" s="24">
        <v>2</v>
      </c>
      <c r="BE65" s="24">
        <v>2</v>
      </c>
      <c r="BF65" s="24">
        <v>0</v>
      </c>
      <c r="BG65" s="13">
        <f>IFERROR(AVERAGE(I65:Y65),"–")</f>
        <v>0.8125</v>
      </c>
      <c r="BH65" s="13">
        <f>IFERROR(AVERAGE(Z65:AM65),"–")</f>
        <v>1.1538461538461537</v>
      </c>
      <c r="BI65" s="13">
        <f>IFERROR(AVERAGE(AN65:AY65),"–")</f>
        <v>1.3333333333333333</v>
      </c>
      <c r="BJ65" s="13">
        <f>IFERROR(AVERAGE(AZ65:BA65),"–")</f>
        <v>1.5</v>
      </c>
      <c r="BK65" s="13">
        <f>IFERROR(AVERAGE(BB65:BF65),"–")</f>
        <v>1.6</v>
      </c>
      <c r="BL65" s="14">
        <f>IFERROR(AVERAGE(I65:BF65),"–")</f>
        <v>1.1333333333333333</v>
      </c>
      <c r="BM65" s="11">
        <f>COUNTIF(I65:BF65,0)</f>
        <v>17</v>
      </c>
    </row>
    <row r="66" spans="1:65">
      <c r="A66" s="3" t="s">
        <v>163</v>
      </c>
      <c r="B66" t="s">
        <v>216</v>
      </c>
      <c r="C66" t="s">
        <v>217</v>
      </c>
      <c r="D66" s="12">
        <v>0</v>
      </c>
      <c r="E66" t="s">
        <v>74</v>
      </c>
      <c r="F66" t="s">
        <v>160</v>
      </c>
      <c r="G66" s="23">
        <v>0.49</v>
      </c>
      <c r="I66" s="24">
        <v>0</v>
      </c>
      <c r="J66" s="24">
        <v>2</v>
      </c>
      <c r="K66" s="24">
        <v>2</v>
      </c>
      <c r="L66" s="24">
        <v>0</v>
      </c>
      <c r="M66" s="24">
        <v>0</v>
      </c>
      <c r="N66" s="24">
        <v>0</v>
      </c>
      <c r="O66" s="24">
        <v>0</v>
      </c>
      <c r="P66" s="24">
        <v>0</v>
      </c>
      <c r="Q66" s="24">
        <v>3</v>
      </c>
      <c r="R66" s="24">
        <v>1</v>
      </c>
      <c r="S66" s="24">
        <v>0</v>
      </c>
      <c r="T66" s="24">
        <v>1</v>
      </c>
      <c r="U66" s="24">
        <v>0</v>
      </c>
      <c r="V66" s="24">
        <v>0</v>
      </c>
      <c r="W66" s="24">
        <v>2</v>
      </c>
      <c r="X66" s="24">
        <v>2</v>
      </c>
      <c r="Y66" s="6" t="s">
        <v>76</v>
      </c>
      <c r="Z66" s="24">
        <v>0</v>
      </c>
      <c r="AA66" s="24">
        <v>0</v>
      </c>
      <c r="AB66" s="24">
        <v>1</v>
      </c>
      <c r="AC66" s="24">
        <v>1</v>
      </c>
      <c r="AD66" s="24">
        <v>1</v>
      </c>
      <c r="AE66" s="24">
        <v>2</v>
      </c>
      <c r="AF66" s="24">
        <v>2</v>
      </c>
      <c r="AG66" s="24">
        <v>1</v>
      </c>
      <c r="AH66" s="24">
        <v>2</v>
      </c>
      <c r="AI66" s="24">
        <v>0</v>
      </c>
      <c r="AJ66" s="24">
        <v>1</v>
      </c>
      <c r="AK66" s="24">
        <v>1</v>
      </c>
      <c r="AL66" s="24">
        <v>3</v>
      </c>
      <c r="AM66" s="6" t="s">
        <v>76</v>
      </c>
      <c r="AN66" s="24">
        <v>2</v>
      </c>
      <c r="AO66" s="24">
        <v>2</v>
      </c>
      <c r="AP66" s="6" t="s">
        <v>76</v>
      </c>
      <c r="AQ66" s="24">
        <v>2</v>
      </c>
      <c r="AR66" s="24">
        <v>2</v>
      </c>
      <c r="AS66" s="24">
        <v>0</v>
      </c>
      <c r="AT66" s="24">
        <v>0</v>
      </c>
      <c r="AU66" s="6" t="s">
        <v>76</v>
      </c>
      <c r="AV66" s="24">
        <v>1</v>
      </c>
      <c r="AW66" s="24">
        <v>0</v>
      </c>
      <c r="AX66" s="24">
        <v>3</v>
      </c>
      <c r="AY66" s="6" t="s">
        <v>76</v>
      </c>
      <c r="AZ66" s="24">
        <v>3</v>
      </c>
      <c r="BA66" s="24">
        <v>0</v>
      </c>
      <c r="BB66" s="24">
        <v>2</v>
      </c>
      <c r="BC66" s="24">
        <v>2</v>
      </c>
      <c r="BD66" s="24">
        <v>2</v>
      </c>
      <c r="BE66" s="24">
        <v>2</v>
      </c>
      <c r="BF66" s="24">
        <v>0</v>
      </c>
      <c r="BG66" s="13">
        <f>IFERROR(AVERAGE(I66:Y66),"–")</f>
        <v>0.8125</v>
      </c>
      <c r="BH66" s="13">
        <f>IFERROR(AVERAGE(Z66:AM66),"–")</f>
        <v>1.1538461538461537</v>
      </c>
      <c r="BI66" s="13">
        <f>IFERROR(AVERAGE(AN66:AY66),"–")</f>
        <v>1.3333333333333333</v>
      </c>
      <c r="BJ66" s="13">
        <f>IFERROR(AVERAGE(AZ66:BA66),"–")</f>
        <v>1.5</v>
      </c>
      <c r="BK66" s="13">
        <f>IFERROR(AVERAGE(BB66:BF66),"–")</f>
        <v>1.6</v>
      </c>
      <c r="BL66" s="14">
        <f>IFERROR(AVERAGE(I66:BF66),"–")</f>
        <v>1.1333333333333333</v>
      </c>
      <c r="BM66" s="11">
        <f>COUNTIF(I66:BF66,0)</f>
        <v>17</v>
      </c>
    </row>
    <row r="67" spans="1:65">
      <c r="A67" s="3" t="s">
        <v>163</v>
      </c>
      <c r="B67" t="s">
        <v>218</v>
      </c>
      <c r="C67" t="s">
        <v>219</v>
      </c>
      <c r="D67" s="12">
        <v>0</v>
      </c>
      <c r="E67" t="s">
        <v>74</v>
      </c>
      <c r="F67" t="s">
        <v>160</v>
      </c>
      <c r="G67" s="23">
        <v>0.49</v>
      </c>
      <c r="I67" s="24">
        <v>0</v>
      </c>
      <c r="J67" s="24">
        <v>2</v>
      </c>
      <c r="K67" s="24">
        <v>2</v>
      </c>
      <c r="L67" s="24">
        <v>0</v>
      </c>
      <c r="M67" s="24">
        <v>0</v>
      </c>
      <c r="N67" s="24">
        <v>0</v>
      </c>
      <c r="O67" s="24">
        <v>0</v>
      </c>
      <c r="P67" s="24">
        <v>0</v>
      </c>
      <c r="Q67" s="24">
        <v>3</v>
      </c>
      <c r="R67" s="24">
        <v>1</v>
      </c>
      <c r="S67" s="24">
        <v>0</v>
      </c>
      <c r="T67" s="24">
        <v>1</v>
      </c>
      <c r="U67" s="24">
        <v>0</v>
      </c>
      <c r="V67" s="24">
        <v>0</v>
      </c>
      <c r="W67" s="24">
        <v>2</v>
      </c>
      <c r="X67" s="24">
        <v>2</v>
      </c>
      <c r="Y67" s="6" t="s">
        <v>76</v>
      </c>
      <c r="Z67" s="24">
        <v>0</v>
      </c>
      <c r="AA67" s="24">
        <v>0</v>
      </c>
      <c r="AB67" s="24">
        <v>1</v>
      </c>
      <c r="AC67" s="24">
        <v>1</v>
      </c>
      <c r="AD67" s="24">
        <v>1</v>
      </c>
      <c r="AE67" s="24">
        <v>2</v>
      </c>
      <c r="AF67" s="24">
        <v>2</v>
      </c>
      <c r="AG67" s="24">
        <v>1</v>
      </c>
      <c r="AH67" s="24">
        <v>2</v>
      </c>
      <c r="AI67" s="24">
        <v>0</v>
      </c>
      <c r="AJ67" s="24">
        <v>1</v>
      </c>
      <c r="AK67" s="24">
        <v>1</v>
      </c>
      <c r="AL67" s="24">
        <v>3</v>
      </c>
      <c r="AM67" s="6" t="s">
        <v>76</v>
      </c>
      <c r="AN67" s="24">
        <v>2</v>
      </c>
      <c r="AO67" s="24">
        <v>2</v>
      </c>
      <c r="AP67" s="6" t="s">
        <v>76</v>
      </c>
      <c r="AQ67" s="24">
        <v>2</v>
      </c>
      <c r="AR67" s="24">
        <v>2</v>
      </c>
      <c r="AS67" s="24">
        <v>0</v>
      </c>
      <c r="AT67" s="24">
        <v>0</v>
      </c>
      <c r="AU67" s="6" t="s">
        <v>76</v>
      </c>
      <c r="AV67" s="24">
        <v>1</v>
      </c>
      <c r="AW67" s="24">
        <v>0</v>
      </c>
      <c r="AX67" s="24">
        <v>3</v>
      </c>
      <c r="AY67" s="6" t="s">
        <v>76</v>
      </c>
      <c r="AZ67" s="24">
        <v>3</v>
      </c>
      <c r="BA67" s="24">
        <v>0</v>
      </c>
      <c r="BB67" s="24">
        <v>2</v>
      </c>
      <c r="BC67" s="24">
        <v>2</v>
      </c>
      <c r="BD67" s="24">
        <v>2</v>
      </c>
      <c r="BE67" s="24">
        <v>2</v>
      </c>
      <c r="BF67" s="24">
        <v>0</v>
      </c>
      <c r="BG67" s="13">
        <f>IFERROR(AVERAGE(I67:Y67),"–")</f>
        <v>0.8125</v>
      </c>
      <c r="BH67" s="13">
        <f>IFERROR(AVERAGE(Z67:AM67),"–")</f>
        <v>1.1538461538461537</v>
      </c>
      <c r="BI67" s="13">
        <f>IFERROR(AVERAGE(AN67:AY67),"–")</f>
        <v>1.3333333333333333</v>
      </c>
      <c r="BJ67" s="13">
        <f>IFERROR(AVERAGE(AZ67:BA67),"–")</f>
        <v>1.5</v>
      </c>
      <c r="BK67" s="13">
        <f>IFERROR(AVERAGE(BB67:BF67),"–")</f>
        <v>1.6</v>
      </c>
      <c r="BL67" s="14">
        <f>IFERROR(AVERAGE(I67:BF67),"–")</f>
        <v>1.1333333333333333</v>
      </c>
      <c r="BM67" s="11">
        <f>COUNTIF(I67:BF67,0)</f>
        <v>17</v>
      </c>
    </row>
    <row r="68" spans="1:65">
      <c r="A68" s="3" t="s">
        <v>163</v>
      </c>
      <c r="B68" t="s">
        <v>220</v>
      </c>
      <c r="C68" t="s">
        <v>221</v>
      </c>
      <c r="D68" s="12">
        <v>0</v>
      </c>
      <c r="E68" t="s">
        <v>74</v>
      </c>
      <c r="F68" t="s">
        <v>160</v>
      </c>
      <c r="G68" s="23">
        <v>0.4</v>
      </c>
      <c r="H68" t="s">
        <v>222</v>
      </c>
      <c r="I68" s="24">
        <v>0</v>
      </c>
      <c r="J68" s="24">
        <v>2</v>
      </c>
      <c r="K68" s="24">
        <v>2</v>
      </c>
      <c r="L68" s="24">
        <v>0</v>
      </c>
      <c r="M68" s="24">
        <v>0</v>
      </c>
      <c r="N68" s="24">
        <v>0</v>
      </c>
      <c r="O68" s="24">
        <v>0</v>
      </c>
      <c r="P68" s="24">
        <v>0</v>
      </c>
      <c r="Q68" s="24">
        <v>3</v>
      </c>
      <c r="R68" s="24">
        <v>1</v>
      </c>
      <c r="S68" s="24">
        <v>0</v>
      </c>
      <c r="T68" s="24">
        <v>1</v>
      </c>
      <c r="U68" s="24">
        <v>0</v>
      </c>
      <c r="V68" s="24">
        <v>0</v>
      </c>
      <c r="W68" s="24">
        <v>2</v>
      </c>
      <c r="X68" s="24">
        <v>2</v>
      </c>
      <c r="Y68" s="6" t="s">
        <v>76</v>
      </c>
      <c r="Z68" s="24">
        <v>0</v>
      </c>
      <c r="AA68" s="24">
        <v>0</v>
      </c>
      <c r="AB68" s="24">
        <v>1</v>
      </c>
      <c r="AC68" s="24">
        <v>2</v>
      </c>
      <c r="AD68" s="24">
        <v>1</v>
      </c>
      <c r="AE68" s="24">
        <v>2</v>
      </c>
      <c r="AF68" s="24">
        <v>2</v>
      </c>
      <c r="AG68" s="24">
        <v>1</v>
      </c>
      <c r="AH68" s="24">
        <v>2</v>
      </c>
      <c r="AI68" s="24">
        <v>0</v>
      </c>
      <c r="AJ68" s="24">
        <v>1</v>
      </c>
      <c r="AK68" s="24">
        <v>1</v>
      </c>
      <c r="AL68" s="24">
        <v>3</v>
      </c>
      <c r="AM68" s="6" t="s">
        <v>76</v>
      </c>
      <c r="AN68" s="24">
        <v>2</v>
      </c>
      <c r="AO68" s="24">
        <v>2</v>
      </c>
      <c r="AP68" s="24">
        <v>1</v>
      </c>
      <c r="AQ68" s="24">
        <v>2</v>
      </c>
      <c r="AR68" s="24">
        <v>2</v>
      </c>
      <c r="AS68" s="24">
        <v>0</v>
      </c>
      <c r="AT68" s="24">
        <v>0</v>
      </c>
      <c r="AU68" s="24">
        <v>2</v>
      </c>
      <c r="AV68" s="24">
        <v>2</v>
      </c>
      <c r="AW68" s="24">
        <v>0</v>
      </c>
      <c r="AX68" s="6" t="s">
        <v>76</v>
      </c>
      <c r="AY68" s="6" t="s">
        <v>76</v>
      </c>
      <c r="AZ68" s="24">
        <v>3</v>
      </c>
      <c r="BA68" s="24">
        <v>0</v>
      </c>
      <c r="BB68" s="24">
        <v>2</v>
      </c>
      <c r="BC68" s="24">
        <v>2</v>
      </c>
      <c r="BD68" s="24">
        <v>2</v>
      </c>
      <c r="BE68" s="24">
        <v>2</v>
      </c>
      <c r="BF68" s="24">
        <v>0</v>
      </c>
      <c r="BG68" s="13">
        <f>IFERROR(AVERAGE(I68:Y68),"–")</f>
        <v>0.8125</v>
      </c>
      <c r="BH68" s="13">
        <f>IFERROR(AVERAGE(Z68:AM68),"–")</f>
        <v>1.2307692307692308</v>
      </c>
      <c r="BI68" s="13">
        <f>IFERROR(AVERAGE(AN68:AY68),"–")</f>
        <v>1.3</v>
      </c>
      <c r="BJ68" s="13">
        <f>IFERROR(AVERAGE(AZ68:BA68),"–")</f>
        <v>1.5</v>
      </c>
      <c r="BK68" s="13">
        <f>IFERROR(AVERAGE(BB68:BF68),"–")</f>
        <v>1.6</v>
      </c>
      <c r="BL68" s="14">
        <f>IFERROR(AVERAGE(I68:BF68),"–")</f>
        <v>1.1521739130434783</v>
      </c>
      <c r="BM68" s="11">
        <f>COUNTIF(I68:BF68,0)</f>
        <v>17</v>
      </c>
    </row>
    <row r="69" spans="1:65">
      <c r="A69" s="3" t="s">
        <v>163</v>
      </c>
      <c r="B69" t="s">
        <v>223</v>
      </c>
      <c r="C69" t="s">
        <v>224</v>
      </c>
      <c r="D69" s="12">
        <v>0</v>
      </c>
      <c r="E69" t="s">
        <v>74</v>
      </c>
      <c r="F69" t="s">
        <v>160</v>
      </c>
      <c r="G69" s="23">
        <v>0.49</v>
      </c>
      <c r="I69" s="24">
        <v>0</v>
      </c>
      <c r="J69" s="24">
        <v>2</v>
      </c>
      <c r="K69" s="24">
        <v>2</v>
      </c>
      <c r="L69" s="24">
        <v>0</v>
      </c>
      <c r="M69" s="24">
        <v>0</v>
      </c>
      <c r="N69" s="24">
        <v>0</v>
      </c>
      <c r="O69" s="24">
        <v>0</v>
      </c>
      <c r="P69" s="24">
        <v>0</v>
      </c>
      <c r="Q69" s="24">
        <v>3</v>
      </c>
      <c r="R69" s="24">
        <v>1</v>
      </c>
      <c r="S69" s="24">
        <v>0</v>
      </c>
      <c r="T69" s="24">
        <v>1</v>
      </c>
      <c r="U69" s="24">
        <v>0</v>
      </c>
      <c r="V69" s="24">
        <v>0</v>
      </c>
      <c r="W69" s="24">
        <v>2</v>
      </c>
      <c r="X69" s="24">
        <v>2</v>
      </c>
      <c r="Y69" s="6" t="s">
        <v>76</v>
      </c>
      <c r="Z69" s="24">
        <v>0</v>
      </c>
      <c r="AA69" s="24">
        <v>0</v>
      </c>
      <c r="AB69" s="24">
        <v>1</v>
      </c>
      <c r="AC69" s="24">
        <v>2</v>
      </c>
      <c r="AD69" s="24">
        <v>1</v>
      </c>
      <c r="AE69" s="24">
        <v>2</v>
      </c>
      <c r="AF69" s="24">
        <v>2</v>
      </c>
      <c r="AG69" s="24">
        <v>1</v>
      </c>
      <c r="AH69" s="24">
        <v>2</v>
      </c>
      <c r="AI69" s="24">
        <v>0</v>
      </c>
      <c r="AJ69" s="24">
        <v>1</v>
      </c>
      <c r="AK69" s="24">
        <v>1</v>
      </c>
      <c r="AL69" s="24">
        <v>3</v>
      </c>
      <c r="AM69" s="6" t="s">
        <v>76</v>
      </c>
      <c r="AN69" s="24">
        <v>2</v>
      </c>
      <c r="AO69" s="24">
        <v>2</v>
      </c>
      <c r="AP69" s="6" t="s">
        <v>76</v>
      </c>
      <c r="AQ69" s="24">
        <v>2</v>
      </c>
      <c r="AR69" s="24">
        <v>2</v>
      </c>
      <c r="AS69" s="24">
        <v>0</v>
      </c>
      <c r="AT69" s="24">
        <v>0</v>
      </c>
      <c r="AU69" s="6" t="s">
        <v>76</v>
      </c>
      <c r="AV69" s="24">
        <v>1</v>
      </c>
      <c r="AW69" s="24">
        <v>0</v>
      </c>
      <c r="AX69" s="24">
        <v>3</v>
      </c>
      <c r="AY69" s="6" t="s">
        <v>76</v>
      </c>
      <c r="AZ69" s="24">
        <v>3</v>
      </c>
      <c r="BA69" s="24">
        <v>0</v>
      </c>
      <c r="BB69" s="24">
        <v>2</v>
      </c>
      <c r="BC69" s="24">
        <v>2</v>
      </c>
      <c r="BD69" s="24">
        <v>2</v>
      </c>
      <c r="BE69" s="24">
        <v>2</v>
      </c>
      <c r="BF69" s="24">
        <v>0</v>
      </c>
      <c r="BG69" s="13">
        <f>IFERROR(AVERAGE(I69:Y69),"–")</f>
        <v>0.8125</v>
      </c>
      <c r="BH69" s="13">
        <f>IFERROR(AVERAGE(Z69:AM69),"–")</f>
        <v>1.2307692307692308</v>
      </c>
      <c r="BI69" s="13">
        <f>IFERROR(AVERAGE(AN69:AY69),"–")</f>
        <v>1.3333333333333333</v>
      </c>
      <c r="BJ69" s="13">
        <f>IFERROR(AVERAGE(AZ69:BA69),"–")</f>
        <v>1.5</v>
      </c>
      <c r="BK69" s="13">
        <f>IFERROR(AVERAGE(BB69:BF69),"–")</f>
        <v>1.6</v>
      </c>
      <c r="BL69" s="14">
        <f>IFERROR(AVERAGE(I69:BF69),"–")</f>
        <v>1.1555555555555554</v>
      </c>
      <c r="BM69" s="11">
        <f>COUNTIF(I69:BF69,0)</f>
        <v>17</v>
      </c>
    </row>
    <row r="70" spans="1:65">
      <c r="A70" s="3" t="s">
        <v>163</v>
      </c>
      <c r="B70" t="s">
        <v>225</v>
      </c>
      <c r="C70" t="s">
        <v>226</v>
      </c>
      <c r="D70" s="12">
        <v>0</v>
      </c>
      <c r="E70" t="s">
        <v>74</v>
      </c>
      <c r="F70" t="s">
        <v>160</v>
      </c>
      <c r="G70" s="23">
        <v>0.52</v>
      </c>
      <c r="H70" t="s">
        <v>227</v>
      </c>
      <c r="I70" s="24">
        <v>1</v>
      </c>
      <c r="J70" s="24">
        <v>2</v>
      </c>
      <c r="K70" s="24">
        <v>2</v>
      </c>
      <c r="L70" s="24">
        <v>1</v>
      </c>
      <c r="M70" s="24">
        <v>1</v>
      </c>
      <c r="N70" s="24">
        <v>1</v>
      </c>
      <c r="O70" s="24">
        <v>1</v>
      </c>
      <c r="P70" s="24">
        <v>1</v>
      </c>
      <c r="Q70" s="24">
        <v>3</v>
      </c>
      <c r="R70" s="24">
        <v>1</v>
      </c>
      <c r="S70" s="24">
        <v>0</v>
      </c>
      <c r="T70" s="24">
        <v>1</v>
      </c>
      <c r="U70" s="24">
        <v>1</v>
      </c>
      <c r="V70" s="24">
        <v>0</v>
      </c>
      <c r="W70" s="24">
        <v>2</v>
      </c>
      <c r="X70" s="24">
        <v>2</v>
      </c>
      <c r="Y70" s="6" t="s">
        <v>76</v>
      </c>
      <c r="Z70" s="24">
        <v>1</v>
      </c>
      <c r="AA70" s="24">
        <v>0</v>
      </c>
      <c r="AB70" s="24">
        <v>1</v>
      </c>
      <c r="AC70" s="24">
        <v>2</v>
      </c>
      <c r="AD70" s="24">
        <v>1</v>
      </c>
      <c r="AE70" s="24">
        <v>2</v>
      </c>
      <c r="AF70" s="24">
        <v>2</v>
      </c>
      <c r="AG70" s="24">
        <v>1</v>
      </c>
      <c r="AH70" s="24">
        <v>2</v>
      </c>
      <c r="AI70" s="24">
        <v>1</v>
      </c>
      <c r="AJ70" s="24">
        <v>1</v>
      </c>
      <c r="AK70" s="24">
        <v>1</v>
      </c>
      <c r="AL70" s="24">
        <v>3</v>
      </c>
      <c r="AM70" s="6" t="s">
        <v>76</v>
      </c>
      <c r="AN70" s="24">
        <v>2</v>
      </c>
      <c r="AO70" s="24">
        <v>2</v>
      </c>
      <c r="AP70" s="6" t="s">
        <v>76</v>
      </c>
      <c r="AQ70" s="24">
        <v>2</v>
      </c>
      <c r="AR70" s="24">
        <v>1</v>
      </c>
      <c r="AS70" s="24">
        <v>1</v>
      </c>
      <c r="AT70" s="24">
        <v>0</v>
      </c>
      <c r="AU70" s="24">
        <v>1</v>
      </c>
      <c r="AV70" s="6" t="s">
        <v>76</v>
      </c>
      <c r="AW70" s="6" t="s">
        <v>76</v>
      </c>
      <c r="AX70" s="24">
        <v>3</v>
      </c>
      <c r="AY70" s="6" t="s">
        <v>76</v>
      </c>
      <c r="AZ70" s="24">
        <v>3</v>
      </c>
      <c r="BA70" s="24">
        <v>1</v>
      </c>
      <c r="BB70" s="24">
        <v>2</v>
      </c>
      <c r="BC70" s="24">
        <v>2</v>
      </c>
      <c r="BD70" s="24">
        <v>2</v>
      </c>
      <c r="BE70" s="24">
        <v>2</v>
      </c>
      <c r="BF70" s="24">
        <v>0</v>
      </c>
      <c r="BG70" s="13">
        <f>IFERROR(AVERAGE(I70:Y70),"–")</f>
        <v>1.25</v>
      </c>
      <c r="BH70" s="13">
        <f>IFERROR(AVERAGE(Z70:AM70),"–")</f>
        <v>1.3846153846153846</v>
      </c>
      <c r="BI70" s="13">
        <f>IFERROR(AVERAGE(AN70:AY70),"–")</f>
        <v>1.5</v>
      </c>
      <c r="BJ70" s="13">
        <f>IFERROR(AVERAGE(AZ70:BA70),"–")</f>
        <v>2.0</v>
      </c>
      <c r="BK70" s="13">
        <f>IFERROR(AVERAGE(BB70:BF70),"–")</f>
        <v>1.6</v>
      </c>
      <c r="BL70" s="14">
        <f>IFERROR(AVERAGE(I70:BF70),"–")</f>
        <v>1.4090909090909092</v>
      </c>
      <c r="BM70" s="11">
        <f>COUNTIF(I70:BF70,0)</f>
        <v>5</v>
      </c>
    </row>
    <row r="71" spans="1:65">
      <c r="A71" s="3" t="s">
        <v>228</v>
      </c>
      <c r="B71" t="s">
        <v>229</v>
      </c>
      <c r="C71" t="s">
        <v>228</v>
      </c>
      <c r="D71" s="12">
        <v>189.4</v>
      </c>
      <c r="E71" t="s">
        <v>74</v>
      </c>
      <c r="F71" t="s">
        <v>160</v>
      </c>
      <c r="G71" s="23">
        <v>0.21</v>
      </c>
      <c r="H71" t="s">
        <v>230</v>
      </c>
      <c r="I71" s="24">
        <v>1</v>
      </c>
      <c r="J71" s="24">
        <v>2</v>
      </c>
      <c r="K71" s="24">
        <v>2</v>
      </c>
      <c r="L71" s="24">
        <v>1</v>
      </c>
      <c r="M71" s="24">
        <v>1</v>
      </c>
      <c r="N71" s="24">
        <v>1</v>
      </c>
      <c r="O71" s="24">
        <v>1</v>
      </c>
      <c r="P71" s="24">
        <v>1</v>
      </c>
      <c r="Q71" s="24">
        <v>3</v>
      </c>
      <c r="R71" s="24">
        <v>1</v>
      </c>
      <c r="S71" s="24">
        <v>0</v>
      </c>
      <c r="T71" s="24">
        <v>1</v>
      </c>
      <c r="U71" s="24">
        <v>1</v>
      </c>
      <c r="V71" s="24">
        <v>0</v>
      </c>
      <c r="W71" s="24">
        <v>2</v>
      </c>
      <c r="X71" s="24">
        <v>2</v>
      </c>
      <c r="Y71" s="6" t="s">
        <v>76</v>
      </c>
      <c r="Z71" s="24">
        <v>1</v>
      </c>
      <c r="AA71" s="24">
        <v>0</v>
      </c>
      <c r="AB71" s="24">
        <v>1</v>
      </c>
      <c r="AC71" s="24">
        <v>2</v>
      </c>
      <c r="AD71" s="24">
        <v>1</v>
      </c>
      <c r="AE71" s="24">
        <v>2</v>
      </c>
      <c r="AF71" s="24">
        <v>2</v>
      </c>
      <c r="AG71" s="24">
        <v>1</v>
      </c>
      <c r="AH71" s="24">
        <v>2</v>
      </c>
      <c r="AI71" s="24">
        <v>1</v>
      </c>
      <c r="AJ71" s="24">
        <v>1</v>
      </c>
      <c r="AK71" s="24">
        <v>1</v>
      </c>
      <c r="AL71" s="24">
        <v>3</v>
      </c>
      <c r="AM71" s="6" t="s">
        <v>76</v>
      </c>
      <c r="AN71" s="24">
        <v>2</v>
      </c>
      <c r="AO71" s="24">
        <v>2</v>
      </c>
      <c r="AP71" s="24">
        <v>1</v>
      </c>
      <c r="AQ71" s="24">
        <v>2</v>
      </c>
      <c r="AR71" s="24">
        <v>2</v>
      </c>
      <c r="AS71" s="24">
        <v>1</v>
      </c>
      <c r="AT71" s="24">
        <v>0</v>
      </c>
      <c r="AU71" s="24">
        <v>2</v>
      </c>
      <c r="AV71" s="24">
        <v>2</v>
      </c>
      <c r="AW71" s="24">
        <v>0</v>
      </c>
      <c r="AX71" s="24">
        <v>3</v>
      </c>
      <c r="AY71" s="6" t="s">
        <v>76</v>
      </c>
      <c r="AZ71" s="24">
        <v>3</v>
      </c>
      <c r="BA71" s="24">
        <v>1</v>
      </c>
      <c r="BB71" s="24">
        <v>2</v>
      </c>
      <c r="BC71" s="24">
        <v>2</v>
      </c>
      <c r="BD71" s="24">
        <v>2</v>
      </c>
      <c r="BE71" s="24">
        <v>2</v>
      </c>
      <c r="BF71" s="24">
        <v>0</v>
      </c>
      <c r="BG71" s="13">
        <f>IFERROR(AVERAGE(I71:Y71),"–")</f>
        <v>1.25</v>
      </c>
      <c r="BH71" s="13">
        <f>IFERROR(AVERAGE(Z71:AM71),"–")</f>
        <v>1.3846153846153846</v>
      </c>
      <c r="BI71" s="13">
        <f>IFERROR(AVERAGE(AN71:AY71),"–")</f>
        <v>1.5454545454545454</v>
      </c>
      <c r="BJ71" s="13">
        <f>IFERROR(AVERAGE(AZ71:BA71),"–")</f>
        <v>2.0</v>
      </c>
      <c r="BK71" s="13">
        <f>IFERROR(AVERAGE(BB71:BF71),"–")</f>
        <v>1.6</v>
      </c>
      <c r="BL71" s="14">
        <f>IFERROR(AVERAGE(I71:BF71),"–")</f>
        <v>1.425531914893617</v>
      </c>
      <c r="BM71" s="11">
        <f>COUNTIF(I71:BF71,0)</f>
        <v>6</v>
      </c>
    </row>
    <row r="72" spans="1:65">
      <c r="A72" s="3" t="s">
        <v>231</v>
      </c>
      <c r="B72" t="s">
        <v>232</v>
      </c>
      <c r="C72" t="s">
        <v>233</v>
      </c>
      <c r="D72" s="12">
        <v>103.3</v>
      </c>
      <c r="E72" t="s">
        <v>74</v>
      </c>
      <c r="F72" t="s">
        <v>160</v>
      </c>
      <c r="G72" s="23">
        <v>0.07000000000000001</v>
      </c>
      <c r="H72" t="s">
        <v>234</v>
      </c>
      <c r="I72" s="24">
        <v>1</v>
      </c>
      <c r="J72" s="24">
        <v>2</v>
      </c>
      <c r="K72" s="24">
        <v>2</v>
      </c>
      <c r="L72" s="24">
        <v>1</v>
      </c>
      <c r="M72" s="24">
        <v>1</v>
      </c>
      <c r="N72" s="24">
        <v>1</v>
      </c>
      <c r="O72" s="24">
        <v>1</v>
      </c>
      <c r="P72" s="24">
        <v>1</v>
      </c>
      <c r="Q72" s="24">
        <v>3</v>
      </c>
      <c r="R72" s="24">
        <v>1</v>
      </c>
      <c r="S72" s="24">
        <v>0</v>
      </c>
      <c r="T72" s="24">
        <v>1</v>
      </c>
      <c r="U72" s="24">
        <v>0</v>
      </c>
      <c r="V72" s="24">
        <v>0</v>
      </c>
      <c r="W72" s="24">
        <v>2</v>
      </c>
      <c r="X72" s="24">
        <v>2</v>
      </c>
      <c r="Y72" s="6" t="s">
        <v>76</v>
      </c>
      <c r="Z72" s="24">
        <v>1</v>
      </c>
      <c r="AA72" s="24">
        <v>0</v>
      </c>
      <c r="AB72" s="24">
        <v>1</v>
      </c>
      <c r="AC72" s="24">
        <v>2</v>
      </c>
      <c r="AD72" s="24">
        <v>1</v>
      </c>
      <c r="AE72" s="24">
        <v>1</v>
      </c>
      <c r="AF72" s="24">
        <v>2</v>
      </c>
      <c r="AG72" s="24">
        <v>1</v>
      </c>
      <c r="AH72" s="24">
        <v>2</v>
      </c>
      <c r="AI72" s="24">
        <v>1</v>
      </c>
      <c r="AJ72" s="24">
        <v>1</v>
      </c>
      <c r="AK72" s="24">
        <v>1</v>
      </c>
      <c r="AL72" s="24">
        <v>3</v>
      </c>
      <c r="AM72" s="6" t="s">
        <v>76</v>
      </c>
      <c r="AN72" s="24">
        <v>2</v>
      </c>
      <c r="AO72" s="24">
        <v>2</v>
      </c>
      <c r="AP72" s="24">
        <v>1</v>
      </c>
      <c r="AQ72" s="24">
        <v>2</v>
      </c>
      <c r="AR72" s="24">
        <v>3</v>
      </c>
      <c r="AS72" s="24">
        <v>1</v>
      </c>
      <c r="AT72" s="24">
        <v>0</v>
      </c>
      <c r="AU72" s="24">
        <v>2</v>
      </c>
      <c r="AV72" s="24">
        <v>2</v>
      </c>
      <c r="AW72" s="24">
        <v>0</v>
      </c>
      <c r="AX72" s="24">
        <v>3</v>
      </c>
      <c r="AY72" s="6" t="s">
        <v>76</v>
      </c>
      <c r="AZ72" s="24">
        <v>3</v>
      </c>
      <c r="BA72" s="24">
        <v>1</v>
      </c>
      <c r="BB72" s="24">
        <v>2</v>
      </c>
      <c r="BC72" s="24">
        <v>2</v>
      </c>
      <c r="BD72" s="24">
        <v>2</v>
      </c>
      <c r="BE72" s="24">
        <v>2</v>
      </c>
      <c r="BF72" s="24">
        <v>0</v>
      </c>
      <c r="BG72" s="13">
        <f>IFERROR(AVERAGE(I72:Y72),"–")</f>
        <v>1.1875</v>
      </c>
      <c r="BH72" s="13">
        <f>IFERROR(AVERAGE(Z72:AM72),"–")</f>
        <v>1.3076923076923077</v>
      </c>
      <c r="BI72" s="13">
        <f>IFERROR(AVERAGE(AN72:AY72),"–")</f>
        <v>1.6363636363636365</v>
      </c>
      <c r="BJ72" s="13">
        <f>IFERROR(AVERAGE(AZ72:BA72),"–")</f>
        <v>2.0</v>
      </c>
      <c r="BK72" s="13">
        <f>IFERROR(AVERAGE(BB72:BF72),"–")</f>
        <v>1.6</v>
      </c>
      <c r="BL72" s="14">
        <f>IFERROR(AVERAGE(I72:BF72),"–")</f>
        <v>1.4042553191489362</v>
      </c>
      <c r="BM72" s="11">
        <f>COUNTIF(I72:BF72,0)</f>
        <v>7</v>
      </c>
    </row>
    <row r="73" spans="1:65">
      <c r="A73" s="3" t="s">
        <v>231</v>
      </c>
      <c r="B73" t="s">
        <v>235</v>
      </c>
      <c r="C73" t="s">
        <v>236</v>
      </c>
      <c r="D73" s="12">
        <v>42.2</v>
      </c>
      <c r="E73" t="s">
        <v>74</v>
      </c>
      <c r="F73" t="s">
        <v>160</v>
      </c>
      <c r="G73" s="23">
        <v>0.27</v>
      </c>
      <c r="H73" t="s">
        <v>237</v>
      </c>
      <c r="I73" s="24">
        <v>1</v>
      </c>
      <c r="J73" s="24">
        <v>2</v>
      </c>
      <c r="K73" s="24">
        <v>2</v>
      </c>
      <c r="L73" s="24">
        <v>1</v>
      </c>
      <c r="M73" s="24">
        <v>1</v>
      </c>
      <c r="N73" s="24">
        <v>1</v>
      </c>
      <c r="O73" s="24">
        <v>1</v>
      </c>
      <c r="P73" s="24">
        <v>1</v>
      </c>
      <c r="Q73" s="24">
        <v>3</v>
      </c>
      <c r="R73" s="24">
        <v>1</v>
      </c>
      <c r="S73" s="24">
        <v>0</v>
      </c>
      <c r="T73" s="24">
        <v>1</v>
      </c>
      <c r="U73" s="24">
        <v>0</v>
      </c>
      <c r="V73" s="24">
        <v>0</v>
      </c>
      <c r="W73" s="24">
        <v>2</v>
      </c>
      <c r="X73" s="24">
        <v>2</v>
      </c>
      <c r="Y73" s="6" t="s">
        <v>76</v>
      </c>
      <c r="Z73" s="24">
        <v>1</v>
      </c>
      <c r="AA73" s="24">
        <v>0</v>
      </c>
      <c r="AB73" s="24">
        <v>1</v>
      </c>
      <c r="AC73" s="24">
        <v>2</v>
      </c>
      <c r="AD73" s="24">
        <v>1</v>
      </c>
      <c r="AE73" s="24">
        <v>1</v>
      </c>
      <c r="AF73" s="24">
        <v>2</v>
      </c>
      <c r="AG73" s="24">
        <v>1</v>
      </c>
      <c r="AH73" s="24">
        <v>2</v>
      </c>
      <c r="AI73" s="24">
        <v>1</v>
      </c>
      <c r="AJ73" s="24">
        <v>1</v>
      </c>
      <c r="AK73" s="24">
        <v>1</v>
      </c>
      <c r="AL73" s="24">
        <v>3</v>
      </c>
      <c r="AM73" s="6" t="s">
        <v>76</v>
      </c>
      <c r="AN73" s="24">
        <v>2</v>
      </c>
      <c r="AO73" s="24">
        <v>2</v>
      </c>
      <c r="AP73" s="6" t="s">
        <v>76</v>
      </c>
      <c r="AQ73" s="24">
        <v>2</v>
      </c>
      <c r="AR73" s="24">
        <v>2</v>
      </c>
      <c r="AS73" s="24">
        <v>1</v>
      </c>
      <c r="AT73" s="24">
        <v>0</v>
      </c>
      <c r="AU73" s="24">
        <v>2</v>
      </c>
      <c r="AV73" s="24">
        <v>1</v>
      </c>
      <c r="AW73" s="24">
        <v>0</v>
      </c>
      <c r="AX73" s="24">
        <v>3</v>
      </c>
      <c r="AY73" s="6" t="s">
        <v>76</v>
      </c>
      <c r="AZ73" s="24">
        <v>3</v>
      </c>
      <c r="BA73" s="24">
        <v>1</v>
      </c>
      <c r="BB73" s="24">
        <v>2</v>
      </c>
      <c r="BC73" s="24">
        <v>2</v>
      </c>
      <c r="BD73" s="24">
        <v>2</v>
      </c>
      <c r="BE73" s="24">
        <v>2</v>
      </c>
      <c r="BF73" s="24">
        <v>0</v>
      </c>
      <c r="BG73" s="13">
        <f>IFERROR(AVERAGE(I73:Y73),"–")</f>
        <v>1.1875</v>
      </c>
      <c r="BH73" s="13">
        <f>IFERROR(AVERAGE(Z73:AM73),"–")</f>
        <v>1.3076923076923077</v>
      </c>
      <c r="BI73" s="13">
        <f>IFERROR(AVERAGE(AN73:AY73),"–")</f>
        <v>1.5</v>
      </c>
      <c r="BJ73" s="13">
        <f>IFERROR(AVERAGE(AZ73:BA73),"–")</f>
        <v>2.0</v>
      </c>
      <c r="BK73" s="13">
        <f>IFERROR(AVERAGE(BB73:BF73),"–")</f>
        <v>1.6</v>
      </c>
      <c r="BL73" s="14">
        <f>IFERROR(AVERAGE(I73:BF73),"–")</f>
        <v>1.3695652173913044</v>
      </c>
      <c r="BM73" s="11">
        <f>COUNTIF(I73:BF73,0)</f>
        <v>7</v>
      </c>
    </row>
    <row r="74" spans="1:65">
      <c r="A74" s="3" t="s">
        <v>238</v>
      </c>
      <c r="B74" t="s">
        <v>239</v>
      </c>
      <c r="C74" t="s">
        <v>240</v>
      </c>
      <c r="D74" s="12">
        <v>68.7</v>
      </c>
      <c r="E74" t="s">
        <v>74</v>
      </c>
      <c r="F74" t="s">
        <v>241</v>
      </c>
      <c r="G74" s="23">
        <v>0</v>
      </c>
      <c r="I74" s="24">
        <v>1</v>
      </c>
      <c r="J74" s="24">
        <v>2</v>
      </c>
      <c r="K74" s="24">
        <v>2</v>
      </c>
      <c r="L74" s="24">
        <v>1</v>
      </c>
      <c r="M74" s="24">
        <v>1</v>
      </c>
      <c r="N74" s="24">
        <v>1</v>
      </c>
      <c r="O74" s="24">
        <v>1</v>
      </c>
      <c r="P74" s="24">
        <v>1</v>
      </c>
      <c r="Q74" s="24">
        <v>3</v>
      </c>
      <c r="R74" s="24">
        <v>1</v>
      </c>
      <c r="S74" s="24">
        <v>0</v>
      </c>
      <c r="T74" s="24">
        <v>1</v>
      </c>
      <c r="U74" s="24">
        <v>0</v>
      </c>
      <c r="V74" s="24">
        <v>0</v>
      </c>
      <c r="W74" s="24">
        <v>2</v>
      </c>
      <c r="X74" s="24">
        <v>2</v>
      </c>
      <c r="Y74" s="6" t="s">
        <v>76</v>
      </c>
      <c r="Z74" s="24">
        <v>1</v>
      </c>
      <c r="AA74" s="24">
        <v>0</v>
      </c>
      <c r="AB74" s="24">
        <v>1</v>
      </c>
      <c r="AC74" s="24">
        <v>2</v>
      </c>
      <c r="AD74" s="24">
        <v>1</v>
      </c>
      <c r="AE74" s="24">
        <v>1</v>
      </c>
      <c r="AF74" s="24">
        <v>2</v>
      </c>
      <c r="AG74" s="24">
        <v>1</v>
      </c>
      <c r="AH74" s="24">
        <v>1</v>
      </c>
      <c r="AI74" s="24">
        <v>1</v>
      </c>
      <c r="AJ74" s="24">
        <v>1</v>
      </c>
      <c r="AK74" s="24">
        <v>1</v>
      </c>
      <c r="AL74" s="24">
        <v>3</v>
      </c>
      <c r="AM74" s="6" t="s">
        <v>76</v>
      </c>
      <c r="AN74" s="24">
        <v>2</v>
      </c>
      <c r="AO74" s="24">
        <v>2</v>
      </c>
      <c r="AP74" s="6" t="s">
        <v>76</v>
      </c>
      <c r="AQ74" s="24">
        <v>3</v>
      </c>
      <c r="AR74" s="24">
        <v>3</v>
      </c>
      <c r="AS74" s="24">
        <v>1</v>
      </c>
      <c r="AT74" s="24">
        <v>0</v>
      </c>
      <c r="AU74" s="24">
        <v>2</v>
      </c>
      <c r="AV74" s="6" t="s">
        <v>76</v>
      </c>
      <c r="AW74" s="6" t="s">
        <v>76</v>
      </c>
      <c r="AX74" s="24">
        <v>3</v>
      </c>
      <c r="AY74" s="6" t="s">
        <v>76</v>
      </c>
      <c r="AZ74" s="24">
        <v>3</v>
      </c>
      <c r="BA74" s="24">
        <v>1</v>
      </c>
      <c r="BB74" s="24">
        <v>2</v>
      </c>
      <c r="BC74" s="24">
        <v>2</v>
      </c>
      <c r="BD74" s="24">
        <v>2</v>
      </c>
      <c r="BE74" s="24">
        <v>2</v>
      </c>
      <c r="BF74" s="24">
        <v>0</v>
      </c>
      <c r="BG74" s="13">
        <f>IFERROR(AVERAGE(I74:Y74),"–")</f>
        <v>1.1875</v>
      </c>
      <c r="BH74" s="13">
        <f>IFERROR(AVERAGE(Z74:AM74),"–")</f>
        <v>1.2307692307692308</v>
      </c>
      <c r="BI74" s="13">
        <f>IFERROR(AVERAGE(AN74:AY74),"–")</f>
        <v>2.0</v>
      </c>
      <c r="BJ74" s="13">
        <f>IFERROR(AVERAGE(AZ74:BA74),"–")</f>
        <v>2.0</v>
      </c>
      <c r="BK74" s="13">
        <f>IFERROR(AVERAGE(BB74:BF74),"–")</f>
        <v>1.6</v>
      </c>
      <c r="BL74" s="14">
        <f>IFERROR(AVERAGE(I74:BF74),"–")</f>
        <v>1.4318181818181819</v>
      </c>
      <c r="BM74" s="11">
        <f>COUNTIF(I74:BF74,0)</f>
        <v>6</v>
      </c>
    </row>
    <row r="75" spans="1:65">
      <c r="A75" s="3" t="s">
        <v>238</v>
      </c>
      <c r="B75" t="s">
        <v>242</v>
      </c>
      <c r="C75" t="s">
        <v>243</v>
      </c>
      <c r="D75" s="12">
        <v>64</v>
      </c>
      <c r="E75" t="s">
        <v>74</v>
      </c>
      <c r="F75" t="s">
        <v>241</v>
      </c>
      <c r="G75" s="23">
        <v>0</v>
      </c>
      <c r="H75" t="s">
        <v>244</v>
      </c>
      <c r="I75" s="24">
        <v>1</v>
      </c>
      <c r="J75" s="24">
        <v>2</v>
      </c>
      <c r="K75" s="24">
        <v>2</v>
      </c>
      <c r="L75" s="24">
        <v>1</v>
      </c>
      <c r="M75" s="24">
        <v>1</v>
      </c>
      <c r="N75" s="24">
        <v>1</v>
      </c>
      <c r="O75" s="24">
        <v>1</v>
      </c>
      <c r="P75" s="24">
        <v>1</v>
      </c>
      <c r="Q75" s="24">
        <v>3</v>
      </c>
      <c r="R75" s="24">
        <v>1</v>
      </c>
      <c r="S75" s="24">
        <v>0</v>
      </c>
      <c r="T75" s="24">
        <v>1</v>
      </c>
      <c r="U75" s="24">
        <v>0</v>
      </c>
      <c r="V75" s="24">
        <v>0</v>
      </c>
      <c r="W75" s="24">
        <v>2</v>
      </c>
      <c r="X75" s="24">
        <v>2</v>
      </c>
      <c r="Y75" s="6" t="s">
        <v>76</v>
      </c>
      <c r="Z75" s="24">
        <v>1</v>
      </c>
      <c r="AA75" s="24">
        <v>0</v>
      </c>
      <c r="AB75" s="24">
        <v>1</v>
      </c>
      <c r="AC75" s="24">
        <v>2</v>
      </c>
      <c r="AD75" s="24">
        <v>1</v>
      </c>
      <c r="AE75" s="24">
        <v>1</v>
      </c>
      <c r="AF75" s="24">
        <v>2</v>
      </c>
      <c r="AG75" s="24">
        <v>1</v>
      </c>
      <c r="AH75" s="24">
        <v>1</v>
      </c>
      <c r="AI75" s="24">
        <v>1</v>
      </c>
      <c r="AJ75" s="24">
        <v>1</v>
      </c>
      <c r="AK75" s="24">
        <v>1</v>
      </c>
      <c r="AL75" s="24">
        <v>3</v>
      </c>
      <c r="AM75" s="6" t="s">
        <v>76</v>
      </c>
      <c r="AN75" s="24">
        <v>2</v>
      </c>
      <c r="AO75" s="24">
        <v>2</v>
      </c>
      <c r="AP75" s="6" t="s">
        <v>76</v>
      </c>
      <c r="AQ75" s="24">
        <v>2</v>
      </c>
      <c r="AR75" s="24">
        <v>3</v>
      </c>
      <c r="AS75" s="24">
        <v>1</v>
      </c>
      <c r="AT75" s="24">
        <v>0</v>
      </c>
      <c r="AU75" s="24">
        <v>2</v>
      </c>
      <c r="AV75" s="6" t="s">
        <v>76</v>
      </c>
      <c r="AW75" s="6" t="s">
        <v>76</v>
      </c>
      <c r="AX75" s="24">
        <v>3</v>
      </c>
      <c r="AY75" s="6" t="s">
        <v>76</v>
      </c>
      <c r="AZ75" s="24">
        <v>3</v>
      </c>
      <c r="BA75" s="24">
        <v>1</v>
      </c>
      <c r="BB75" s="24">
        <v>2</v>
      </c>
      <c r="BC75" s="24">
        <v>2</v>
      </c>
      <c r="BD75" s="24">
        <v>2</v>
      </c>
      <c r="BE75" s="24">
        <v>2</v>
      </c>
      <c r="BF75" s="24">
        <v>0</v>
      </c>
      <c r="BG75" s="13">
        <f>IFERROR(AVERAGE(I75:Y75),"–")</f>
        <v>1.1875</v>
      </c>
      <c r="BH75" s="13">
        <f>IFERROR(AVERAGE(Z75:AM75),"–")</f>
        <v>1.2307692307692308</v>
      </c>
      <c r="BI75" s="13">
        <f>IFERROR(AVERAGE(AN75:AY75),"–")</f>
        <v>1.875</v>
      </c>
      <c r="BJ75" s="13">
        <f>IFERROR(AVERAGE(AZ75:BA75),"–")</f>
        <v>2.0</v>
      </c>
      <c r="BK75" s="13">
        <f>IFERROR(AVERAGE(BB75:BF75),"–")</f>
        <v>1.6</v>
      </c>
      <c r="BL75" s="14">
        <f>IFERROR(AVERAGE(I75:BF75),"–")</f>
        <v>1.4090909090909092</v>
      </c>
      <c r="BM75" s="11">
        <f>COUNTIF(I75:BF75,0)</f>
        <v>6</v>
      </c>
    </row>
    <row r="76" spans="1:65">
      <c r="A76" s="3" t="s">
        <v>245</v>
      </c>
      <c r="B76" t="s">
        <v>246</v>
      </c>
      <c r="C76" t="s">
        <v>245</v>
      </c>
      <c r="D76" s="12">
        <v>100.8</v>
      </c>
      <c r="E76" t="s">
        <v>74</v>
      </c>
      <c r="F76" t="s">
        <v>141</v>
      </c>
      <c r="G76" s="23">
        <v>0.05</v>
      </c>
      <c r="H76" t="s">
        <v>247</v>
      </c>
      <c r="I76" s="24">
        <v>1</v>
      </c>
      <c r="J76" s="24">
        <v>2</v>
      </c>
      <c r="K76" s="24">
        <v>2</v>
      </c>
      <c r="L76" s="24">
        <v>0</v>
      </c>
      <c r="M76" s="24">
        <v>0</v>
      </c>
      <c r="N76" s="24">
        <v>0</v>
      </c>
      <c r="O76" s="24">
        <v>0</v>
      </c>
      <c r="P76" s="24">
        <v>0</v>
      </c>
      <c r="Q76" s="24">
        <v>3</v>
      </c>
      <c r="R76" s="24">
        <v>1</v>
      </c>
      <c r="S76" s="24">
        <v>0</v>
      </c>
      <c r="T76" s="24">
        <v>1</v>
      </c>
      <c r="U76" s="24">
        <v>1</v>
      </c>
      <c r="V76" s="24">
        <v>0</v>
      </c>
      <c r="W76" s="24">
        <v>2</v>
      </c>
      <c r="X76" s="24">
        <v>2</v>
      </c>
      <c r="Y76" s="6" t="s">
        <v>76</v>
      </c>
      <c r="Z76" s="24">
        <v>1</v>
      </c>
      <c r="AA76" s="24">
        <v>0</v>
      </c>
      <c r="AB76" s="24">
        <v>1</v>
      </c>
      <c r="AC76" s="24">
        <v>2</v>
      </c>
      <c r="AD76" s="24">
        <v>1</v>
      </c>
      <c r="AE76" s="24">
        <v>1</v>
      </c>
      <c r="AF76" s="24">
        <v>1</v>
      </c>
      <c r="AG76" s="24">
        <v>1</v>
      </c>
      <c r="AH76" s="24">
        <v>1</v>
      </c>
      <c r="AI76" s="24">
        <v>1</v>
      </c>
      <c r="AJ76" s="24">
        <v>1</v>
      </c>
      <c r="AK76" s="24">
        <v>1</v>
      </c>
      <c r="AL76" s="24">
        <v>3</v>
      </c>
      <c r="AM76" s="6" t="s">
        <v>76</v>
      </c>
      <c r="AN76" s="24">
        <v>2</v>
      </c>
      <c r="AO76" s="24">
        <v>2</v>
      </c>
      <c r="AP76" s="24">
        <v>1</v>
      </c>
      <c r="AQ76" s="24">
        <v>2</v>
      </c>
      <c r="AR76" s="24">
        <v>3</v>
      </c>
      <c r="AS76" s="24">
        <v>1</v>
      </c>
      <c r="AT76" s="24">
        <v>0</v>
      </c>
      <c r="AU76" s="24">
        <v>1</v>
      </c>
      <c r="AV76" s="24">
        <v>2</v>
      </c>
      <c r="AW76" s="24">
        <v>0</v>
      </c>
      <c r="AX76" s="24">
        <v>3</v>
      </c>
      <c r="AY76" s="6" t="s">
        <v>76</v>
      </c>
      <c r="AZ76" s="24">
        <v>3</v>
      </c>
      <c r="BA76" s="24">
        <v>1</v>
      </c>
      <c r="BB76" s="24">
        <v>2</v>
      </c>
      <c r="BC76" s="24">
        <v>2</v>
      </c>
      <c r="BD76" s="24">
        <v>2</v>
      </c>
      <c r="BE76" s="24">
        <v>2</v>
      </c>
      <c r="BF76" s="24">
        <v>0</v>
      </c>
      <c r="BG76" s="13">
        <f>IFERROR(AVERAGE(I76:Y76),"–")</f>
        <v>0.9375</v>
      </c>
      <c r="BH76" s="13">
        <f>IFERROR(AVERAGE(Z76:AM76),"–")</f>
        <v>1.1538461538461537</v>
      </c>
      <c r="BI76" s="13">
        <f>IFERROR(AVERAGE(AN76:AY76),"–")</f>
        <v>1.5454545454545454</v>
      </c>
      <c r="BJ76" s="13">
        <f>IFERROR(AVERAGE(AZ76:BA76),"–")</f>
        <v>2.0</v>
      </c>
      <c r="BK76" s="13">
        <f>IFERROR(AVERAGE(BB76:BF76),"–")</f>
        <v>1.6</v>
      </c>
      <c r="BL76" s="14">
        <f>IFERROR(AVERAGE(I76:BF76),"–")</f>
        <v>1.2553191489361701</v>
      </c>
      <c r="BM76" s="11">
        <f>COUNTIF(I76:BF76,0)</f>
        <v>11</v>
      </c>
    </row>
    <row r="77" spans="1:65">
      <c r="A77" s="3" t="s">
        <v>248</v>
      </c>
      <c r="B77" t="s">
        <v>249</v>
      </c>
      <c r="C77" t="s">
        <v>250</v>
      </c>
      <c r="D77" s="12">
        <v>262.4</v>
      </c>
      <c r="E77" t="s">
        <v>74</v>
      </c>
      <c r="F77" t="s">
        <v>141</v>
      </c>
      <c r="G77" s="23">
        <v>0.07000000000000001</v>
      </c>
      <c r="H77" t="s">
        <v>251</v>
      </c>
      <c r="I77" s="24">
        <v>0</v>
      </c>
      <c r="J77" s="24">
        <v>2</v>
      </c>
      <c r="K77" s="24">
        <v>2</v>
      </c>
      <c r="L77" s="24">
        <v>0</v>
      </c>
      <c r="M77" s="24">
        <v>0</v>
      </c>
      <c r="N77" s="24">
        <v>0</v>
      </c>
      <c r="O77" s="24">
        <v>0</v>
      </c>
      <c r="P77" s="24">
        <v>0</v>
      </c>
      <c r="Q77" s="24">
        <v>3</v>
      </c>
      <c r="R77" s="24">
        <v>1</v>
      </c>
      <c r="S77" s="24">
        <v>0</v>
      </c>
      <c r="T77" s="24">
        <v>1</v>
      </c>
      <c r="U77" s="24">
        <v>0</v>
      </c>
      <c r="V77" s="24">
        <v>0</v>
      </c>
      <c r="W77" s="24">
        <v>2</v>
      </c>
      <c r="X77" s="24">
        <v>2</v>
      </c>
      <c r="Y77" s="6" t="s">
        <v>76</v>
      </c>
      <c r="Z77" s="24">
        <v>0</v>
      </c>
      <c r="AA77" s="24">
        <v>0</v>
      </c>
      <c r="AB77" s="24">
        <v>1</v>
      </c>
      <c r="AC77" s="24">
        <v>2</v>
      </c>
      <c r="AD77" s="24">
        <v>1</v>
      </c>
      <c r="AE77" s="24">
        <v>1</v>
      </c>
      <c r="AF77" s="24">
        <v>1</v>
      </c>
      <c r="AG77" s="24">
        <v>1</v>
      </c>
      <c r="AH77" s="24">
        <v>1</v>
      </c>
      <c r="AI77" s="24">
        <v>0</v>
      </c>
      <c r="AJ77" s="24">
        <v>1</v>
      </c>
      <c r="AK77" s="24">
        <v>1</v>
      </c>
      <c r="AL77" s="24">
        <v>3</v>
      </c>
      <c r="AM77" s="6" t="s">
        <v>76</v>
      </c>
      <c r="AN77" s="24">
        <v>2</v>
      </c>
      <c r="AO77" s="24">
        <v>2</v>
      </c>
      <c r="AP77" s="24">
        <v>1</v>
      </c>
      <c r="AQ77" s="24">
        <v>2</v>
      </c>
      <c r="AR77" s="24">
        <v>3</v>
      </c>
      <c r="AS77" s="24">
        <v>1</v>
      </c>
      <c r="AT77" s="24">
        <v>0</v>
      </c>
      <c r="AU77" s="24">
        <v>1</v>
      </c>
      <c r="AV77" s="24">
        <v>2</v>
      </c>
      <c r="AW77" s="24">
        <v>0</v>
      </c>
      <c r="AX77" s="24">
        <v>3</v>
      </c>
      <c r="AY77" s="6" t="s">
        <v>76</v>
      </c>
      <c r="AZ77" s="24">
        <v>3</v>
      </c>
      <c r="BA77" s="24">
        <v>0</v>
      </c>
      <c r="BB77" s="24">
        <v>2</v>
      </c>
      <c r="BC77" s="24">
        <v>2</v>
      </c>
      <c r="BD77" s="24">
        <v>2</v>
      </c>
      <c r="BE77" s="24">
        <v>2</v>
      </c>
      <c r="BF77" s="24">
        <v>0</v>
      </c>
      <c r="BG77" s="13">
        <f>IFERROR(AVERAGE(I77:Y77),"–")</f>
        <v>0.8125</v>
      </c>
      <c r="BH77" s="13">
        <f>IFERROR(AVERAGE(Z77:AM77),"–")</f>
        <v>1.0</v>
      </c>
      <c r="BI77" s="13">
        <f>IFERROR(AVERAGE(AN77:AY77),"–")</f>
        <v>1.5454545454545454</v>
      </c>
      <c r="BJ77" s="13">
        <f>IFERROR(AVERAGE(AZ77:BA77),"–")</f>
        <v>1.5</v>
      </c>
      <c r="BK77" s="13">
        <f>IFERROR(AVERAGE(BB77:BF77),"–")</f>
        <v>1.6</v>
      </c>
      <c r="BL77" s="14">
        <f>IFERROR(AVERAGE(I77:BF77),"–")</f>
        <v>1.148936170212766</v>
      </c>
      <c r="BM77" s="11">
        <f>COUNTIF(I77:BF77,0)</f>
        <v>16</v>
      </c>
    </row>
    <row r="78" spans="1:65">
      <c r="A78" s="3" t="s">
        <v>248</v>
      </c>
      <c r="B78" t="s">
        <v>252</v>
      </c>
      <c r="C78" t="s">
        <v>253</v>
      </c>
      <c r="D78" s="12">
        <v>48.5</v>
      </c>
      <c r="E78" t="s">
        <v>74</v>
      </c>
      <c r="F78" t="s">
        <v>141</v>
      </c>
      <c r="G78" s="23">
        <v>0.07000000000000001</v>
      </c>
      <c r="H78" t="s">
        <v>251</v>
      </c>
      <c r="I78" s="24">
        <v>0</v>
      </c>
      <c r="J78" s="24">
        <v>2</v>
      </c>
      <c r="K78" s="24">
        <v>2</v>
      </c>
      <c r="L78" s="24">
        <v>0</v>
      </c>
      <c r="M78" s="24">
        <v>0</v>
      </c>
      <c r="N78" s="24">
        <v>0</v>
      </c>
      <c r="O78" s="24">
        <v>0</v>
      </c>
      <c r="P78" s="24">
        <v>0</v>
      </c>
      <c r="Q78" s="24">
        <v>3</v>
      </c>
      <c r="R78" s="24">
        <v>1</v>
      </c>
      <c r="S78" s="24">
        <v>0</v>
      </c>
      <c r="T78" s="24">
        <v>1</v>
      </c>
      <c r="U78" s="24">
        <v>0</v>
      </c>
      <c r="V78" s="24">
        <v>0</v>
      </c>
      <c r="W78" s="24">
        <v>2</v>
      </c>
      <c r="X78" s="24">
        <v>2</v>
      </c>
      <c r="Y78" s="6" t="s">
        <v>76</v>
      </c>
      <c r="Z78" s="24">
        <v>0</v>
      </c>
      <c r="AA78" s="24">
        <v>0</v>
      </c>
      <c r="AB78" s="24">
        <v>1</v>
      </c>
      <c r="AC78" s="24">
        <v>2</v>
      </c>
      <c r="AD78" s="24">
        <v>1</v>
      </c>
      <c r="AE78" s="24">
        <v>1</v>
      </c>
      <c r="AF78" s="24">
        <v>1</v>
      </c>
      <c r="AG78" s="24">
        <v>1</v>
      </c>
      <c r="AH78" s="24">
        <v>1</v>
      </c>
      <c r="AI78" s="24">
        <v>0</v>
      </c>
      <c r="AJ78" s="24">
        <v>1</v>
      </c>
      <c r="AK78" s="24">
        <v>1</v>
      </c>
      <c r="AL78" s="24">
        <v>3</v>
      </c>
      <c r="AM78" s="6" t="s">
        <v>76</v>
      </c>
      <c r="AN78" s="24">
        <v>2</v>
      </c>
      <c r="AO78" s="24">
        <v>2</v>
      </c>
      <c r="AP78" s="24">
        <v>1</v>
      </c>
      <c r="AQ78" s="24">
        <v>2</v>
      </c>
      <c r="AR78" s="24">
        <v>3</v>
      </c>
      <c r="AS78" s="24">
        <v>1</v>
      </c>
      <c r="AT78" s="24">
        <v>0</v>
      </c>
      <c r="AU78" s="24">
        <v>1</v>
      </c>
      <c r="AV78" s="24">
        <v>1</v>
      </c>
      <c r="AW78" s="24">
        <v>0</v>
      </c>
      <c r="AX78" s="24">
        <v>3</v>
      </c>
      <c r="AY78" s="6" t="s">
        <v>76</v>
      </c>
      <c r="AZ78" s="24">
        <v>3</v>
      </c>
      <c r="BA78" s="24">
        <v>0</v>
      </c>
      <c r="BB78" s="24">
        <v>2</v>
      </c>
      <c r="BC78" s="24">
        <v>2</v>
      </c>
      <c r="BD78" s="24">
        <v>2</v>
      </c>
      <c r="BE78" s="24">
        <v>2</v>
      </c>
      <c r="BF78" s="24">
        <v>0</v>
      </c>
      <c r="BG78" s="13">
        <f>IFERROR(AVERAGE(I78:Y78),"–")</f>
        <v>0.8125</v>
      </c>
      <c r="BH78" s="13">
        <f>IFERROR(AVERAGE(Z78:AM78),"–")</f>
        <v>1.0</v>
      </c>
      <c r="BI78" s="13">
        <f>IFERROR(AVERAGE(AN78:AY78),"–")</f>
        <v>1.4545454545454546</v>
      </c>
      <c r="BJ78" s="13">
        <f>IFERROR(AVERAGE(AZ78:BA78),"–")</f>
        <v>1.5</v>
      </c>
      <c r="BK78" s="13">
        <f>IFERROR(AVERAGE(BB78:BF78),"–")</f>
        <v>1.6</v>
      </c>
      <c r="BL78" s="14">
        <f>IFERROR(AVERAGE(I78:BF78),"–")</f>
        <v>1.127659574468085</v>
      </c>
      <c r="BM78" s="11">
        <f>COUNTIF(I78:BF78,0)</f>
        <v>16</v>
      </c>
    </row>
    <row r="79" spans="1:65">
      <c r="A79" s="3" t="s">
        <v>254</v>
      </c>
      <c r="B79" t="s">
        <v>255</v>
      </c>
      <c r="C79" t="s">
        <v>254</v>
      </c>
      <c r="D79" s="12">
        <v>621.5</v>
      </c>
      <c r="E79" t="s">
        <v>256</v>
      </c>
      <c r="F79" t="s">
        <v>160</v>
      </c>
      <c r="G79" s="23">
        <v>0</v>
      </c>
      <c r="I79" s="6" t="s">
        <v>76</v>
      </c>
      <c r="J79" s="6" t="s">
        <v>76</v>
      </c>
      <c r="K79" s="6" t="s">
        <v>76</v>
      </c>
      <c r="L79" s="6" t="s">
        <v>76</v>
      </c>
      <c r="M79" s="6" t="s">
        <v>76</v>
      </c>
      <c r="N79" s="6" t="s">
        <v>76</v>
      </c>
      <c r="O79" s="6" t="s">
        <v>76</v>
      </c>
      <c r="P79" s="6" t="s">
        <v>76</v>
      </c>
      <c r="Q79" s="6" t="s">
        <v>76</v>
      </c>
      <c r="R79" s="6" t="s">
        <v>76</v>
      </c>
      <c r="S79" s="6" t="s">
        <v>76</v>
      </c>
      <c r="T79" s="6" t="s">
        <v>76</v>
      </c>
      <c r="U79" s="6" t="s">
        <v>76</v>
      </c>
      <c r="V79" s="6" t="s">
        <v>76</v>
      </c>
      <c r="W79" s="6" t="s">
        <v>76</v>
      </c>
      <c r="X79" s="6" t="s">
        <v>76</v>
      </c>
      <c r="Y79" s="6" t="s">
        <v>76</v>
      </c>
      <c r="Z79" s="6" t="s">
        <v>76</v>
      </c>
      <c r="AA79" s="6" t="s">
        <v>76</v>
      </c>
      <c r="AB79" s="6" t="s">
        <v>76</v>
      </c>
      <c r="AC79" s="6" t="s">
        <v>76</v>
      </c>
      <c r="AD79" s="6" t="s">
        <v>76</v>
      </c>
      <c r="AE79" s="6" t="s">
        <v>76</v>
      </c>
      <c r="AF79" s="6" t="s">
        <v>76</v>
      </c>
      <c r="AG79" s="6" t="s">
        <v>76</v>
      </c>
      <c r="AH79" s="6" t="s">
        <v>76</v>
      </c>
      <c r="AI79" s="6" t="s">
        <v>76</v>
      </c>
      <c r="AJ79" s="6" t="s">
        <v>76</v>
      </c>
      <c r="AK79" s="6" t="s">
        <v>76</v>
      </c>
      <c r="AL79" s="6" t="s">
        <v>76</v>
      </c>
      <c r="AM79" s="6" t="s">
        <v>76</v>
      </c>
      <c r="AN79" s="24">
        <v>2</v>
      </c>
      <c r="AO79" s="6" t="s">
        <v>76</v>
      </c>
      <c r="AP79" s="6" t="s">
        <v>76</v>
      </c>
      <c r="AQ79" s="6" t="s">
        <v>76</v>
      </c>
      <c r="AR79" s="6" t="s">
        <v>76</v>
      </c>
      <c r="AS79" s="6" t="s">
        <v>76</v>
      </c>
      <c r="AT79" s="6" t="s">
        <v>76</v>
      </c>
      <c r="AU79" s="6" t="s">
        <v>76</v>
      </c>
      <c r="AV79" s="6" t="s">
        <v>76</v>
      </c>
      <c r="AW79" s="6" t="s">
        <v>76</v>
      </c>
      <c r="AX79" s="6" t="s">
        <v>76</v>
      </c>
      <c r="AY79" s="6" t="s">
        <v>76</v>
      </c>
      <c r="AZ79" s="6" t="s">
        <v>76</v>
      </c>
      <c r="BA79" s="6" t="s">
        <v>76</v>
      </c>
      <c r="BB79" s="6" t="s">
        <v>76</v>
      </c>
      <c r="BC79" s="24">
        <v>2</v>
      </c>
      <c r="BD79" s="24">
        <v>2</v>
      </c>
      <c r="BE79" s="24">
        <v>2</v>
      </c>
      <c r="BF79" s="24">
        <v>0</v>
      </c>
      <c r="BG79" s="13" t="str">
        <f>IFERROR(AVERAGE(I79:Y79),"–")</f>
        <v>–</v>
      </c>
      <c r="BH79" s="13" t="str">
        <f>IFERROR(AVERAGE(Z79:AM79),"–")</f>
        <v>–</v>
      </c>
      <c r="BI79" s="13">
        <f>IFERROR(AVERAGE(AN79:AY79),"–")</f>
        <v>2.0</v>
      </c>
      <c r="BJ79" s="13" t="str">
        <f>IFERROR(AVERAGE(AZ79:BA79),"–")</f>
        <v>–</v>
      </c>
      <c r="BK79" s="13">
        <f>IFERROR(AVERAGE(BB79:BF79),"–")</f>
        <v>1.5</v>
      </c>
      <c r="BL79" s="14">
        <f>IFERROR(AVERAGE(I79:BF79),"–")</f>
        <v>1.6</v>
      </c>
      <c r="BM79" s="11">
        <f>COUNTIF(I79:BF79,0)</f>
        <v>1</v>
      </c>
    </row>
    <row r="80" spans="1:65">
      <c r="A80" s="25" t="s">
        <v>257</v>
      </c>
      <c r="B80" s="25"/>
      <c r="C80" s="25"/>
      <c r="D80" s="25"/>
      <c r="E80" s="25"/>
      <c r="F80" s="25"/>
      <c r="G80" s="25"/>
      <c r="H80" s="25"/>
      <c r="I80" s="14">
        <f>IFERROR(AVERAGE(I5:I79),"–")</f>
        <v>0.5694444444444444</v>
      </c>
      <c r="J80" s="14">
        <f>IFERROR(AVERAGE(J5:J79),"–")</f>
        <v>2.0</v>
      </c>
      <c r="K80" s="14">
        <f>IFERROR(AVERAGE(K5:K79),"–")</f>
        <v>1.9583333333333333</v>
      </c>
      <c r="L80" s="14">
        <f>IFERROR(AVERAGE(L5:L79),"–")</f>
        <v>0.5555555555555556</v>
      </c>
      <c r="M80" s="14">
        <f>IFERROR(AVERAGE(M5:M79),"–")</f>
        <v>0.5555555555555556</v>
      </c>
      <c r="N80" s="14">
        <f>IFERROR(AVERAGE(N5:N79),"–")</f>
        <v>0.5555555555555556</v>
      </c>
      <c r="O80" s="14">
        <f>IFERROR(AVERAGE(O5:O79),"–")</f>
        <v>0.5555555555555556</v>
      </c>
      <c r="P80" s="14">
        <f>IFERROR(AVERAGE(P5:P79),"–")</f>
        <v>0.5555555555555556</v>
      </c>
      <c r="Q80" s="14">
        <f>IFERROR(AVERAGE(Q5:Q79),"–")</f>
        <v>3.0</v>
      </c>
      <c r="R80" s="14">
        <f>IFERROR(AVERAGE(R5:R79),"–")</f>
        <v>1.0</v>
      </c>
      <c r="S80" s="14">
        <f>IFERROR(AVERAGE(S5:S79),"–")</f>
        <v>0.0</v>
      </c>
      <c r="T80" s="14">
        <f>IFERROR(AVERAGE(T5:T79),"–")</f>
        <v>1.0</v>
      </c>
      <c r="U80" s="14">
        <f>IFERROR(AVERAGE(U5:U79),"–")</f>
        <v>0.5138888888888888</v>
      </c>
      <c r="V80" s="14">
        <f>IFERROR(AVERAGE(V5:V79),"–")</f>
        <v>0.0</v>
      </c>
      <c r="W80" s="14">
        <f>IFERROR(AVERAGE(W5:W79),"–")</f>
        <v>2.0</v>
      </c>
      <c r="X80" s="14">
        <f>IFERROR(AVERAGE(X5:X79),"–")</f>
        <v>2.0</v>
      </c>
      <c r="Y80" s="14">
        <f>IFERROR(AVERAGE(Y5:Y79),"–")</f>
        <v>0.0</v>
      </c>
      <c r="Z80" s="14">
        <f>IFERROR(AVERAGE(Z5:Z79),"–")</f>
        <v>0.5694444444444444</v>
      </c>
      <c r="AA80" s="14">
        <f>IFERROR(AVERAGE(AA5:AA79),"–")</f>
        <v>0.0</v>
      </c>
      <c r="AB80" s="14">
        <f>IFERROR(AVERAGE(AB5:AB79),"–")</f>
        <v>1.0</v>
      </c>
      <c r="AC80" s="14">
        <f>IFERROR(AVERAGE(AC5:AC79),"–")</f>
        <v>1.2083333333333333</v>
      </c>
      <c r="AD80" s="14">
        <f>IFERROR(AVERAGE(AD5:AD79),"–")</f>
        <v>1.0</v>
      </c>
      <c r="AE80" s="14">
        <f>IFERROR(AVERAGE(AE5:AE79),"–")</f>
        <v>1.8888888888888888</v>
      </c>
      <c r="AF80" s="14">
        <f>IFERROR(AVERAGE(AF5:AF79),"–")</f>
        <v>1.9583333333333333</v>
      </c>
      <c r="AG80" s="14">
        <f>IFERROR(AVERAGE(AG5:AG79),"–")</f>
        <v>1.0</v>
      </c>
      <c r="AH80" s="14">
        <f>IFERROR(AVERAGE(AH5:AH79),"–")</f>
        <v>1.9305555555555556</v>
      </c>
      <c r="AI80" s="14">
        <f>IFERROR(AVERAGE(AI5:AI79),"–")</f>
        <v>0.5694444444444444</v>
      </c>
      <c r="AJ80" s="14">
        <f>IFERROR(AVERAGE(AJ5:AJ79),"–")</f>
        <v>1.0</v>
      </c>
      <c r="AK80" s="14">
        <f>IFERROR(AVERAGE(AK5:AK79),"–")</f>
        <v>1.0</v>
      </c>
      <c r="AL80" s="14">
        <f>IFERROR(AVERAGE(AL5:AL79),"–")</f>
        <v>3.0</v>
      </c>
      <c r="AM80" s="14">
        <f>IFERROR(AVERAGE(AM5:AM79),"–")</f>
        <v>0.0</v>
      </c>
      <c r="AN80" s="14">
        <f>IFERROR(AVERAGE(AN5:AN79),"–")</f>
        <v>2.0</v>
      </c>
      <c r="AO80" s="14">
        <f>IFERROR(AVERAGE(AO5:AO79),"–")</f>
        <v>2.0</v>
      </c>
      <c r="AP80" s="14">
        <f>IFERROR(AVERAGE(AP5:AP79),"–")</f>
        <v>1.0</v>
      </c>
      <c r="AQ80" s="14">
        <f>IFERROR(AVERAGE(AQ5:AQ79),"–")</f>
        <v>1.972972972972973</v>
      </c>
      <c r="AR80" s="14">
        <f>IFERROR(AVERAGE(AR5:AR79),"–")</f>
        <v>2.0405405405405403</v>
      </c>
      <c r="AS80" s="14">
        <f>IFERROR(AVERAGE(AS5:AS79),"–")</f>
        <v>0.5</v>
      </c>
      <c r="AT80" s="14">
        <f>IFERROR(AVERAGE(AT5:AT79),"–")</f>
        <v>0.0</v>
      </c>
      <c r="AU80" s="14">
        <f>IFERROR(AVERAGE(AU5:AU79),"–")</f>
        <v>1.9130434782608696</v>
      </c>
      <c r="AV80" s="14">
        <f>IFERROR(AVERAGE(AV5:AV79),"–")</f>
        <v>1.1702127659574468</v>
      </c>
      <c r="AW80" s="14">
        <f>IFERROR(AVERAGE(AW5:AW79),"–")</f>
        <v>0.0</v>
      </c>
      <c r="AX80" s="14">
        <f>IFERROR(AVERAGE(AX5:AX79),"–")</f>
        <v>3.0</v>
      </c>
      <c r="AY80" s="14">
        <f>IFERROR(AVERAGE(AY5:AY79),"–")</f>
        <v>0.0</v>
      </c>
      <c r="AZ80" s="14">
        <f>IFERROR(AVERAGE(AZ5:AZ79),"–")</f>
        <v>3.0</v>
      </c>
      <c r="BA80" s="14">
        <f>IFERROR(AVERAGE(BA5:BA79),"–")</f>
        <v>0.5616438356164384</v>
      </c>
      <c r="BB80" s="14">
        <f>IFERROR(AVERAGE(BB5:BB79),"–")</f>
        <v>1.864864864864865</v>
      </c>
      <c r="BC80" s="14">
        <f>IFERROR(AVERAGE(BC5:BC79),"–")</f>
        <v>2.0</v>
      </c>
      <c r="BD80" s="14">
        <f>IFERROR(AVERAGE(BD5:BD79),"–")</f>
        <v>2.0</v>
      </c>
      <c r="BE80" s="14">
        <f>IFERROR(AVERAGE(BE5:BE79),"–")</f>
        <v>2.0</v>
      </c>
      <c r="BF80" s="14">
        <f>IFERROR(AVERAGE(BF5:BF79),"–")</f>
        <v>0.0</v>
      </c>
      <c r="BG80" s="14">
        <f>IFERROR(AVERAGE(BG5:BG79),"–")</f>
        <v>1.022804054054054</v>
      </c>
      <c r="BH80" s="14">
        <f>IFERROR(AVERAGE(BH5:BH79),"–")</f>
        <v>1.204059829059829</v>
      </c>
      <c r="BI80" s="14">
        <f>IFERROR(AVERAGE(BI5:BI79),"–")</f>
        <v>1.5039211159211159</v>
      </c>
      <c r="BJ80" s="14">
        <f>IFERROR(AVERAGE(BJ5:BJ79),"–")</f>
        <v>1.7808219178082192</v>
      </c>
      <c r="BK80" s="14">
        <f>IFERROR(AVERAGE(BK5:BK79),"–")</f>
        <v>1.572</v>
      </c>
      <c r="BL80" s="14">
        <f>IFERROR(AVERAGE(BL5:BL79),"–")</f>
        <v>1.275959828005619</v>
      </c>
    </row>
    <row r="81" spans="1:64">
      <c r="A81" s="25" t="s">
        <v>258</v>
      </c>
      <c r="B81" s="25"/>
      <c r="C81" s="25"/>
      <c r="D81" s="25"/>
      <c r="E81" s="25"/>
      <c r="F81" s="25"/>
      <c r="G81" s="25"/>
      <c r="H81" s="25"/>
      <c r="I81" s="14">
        <f>IFERROR(SUMPRODUCT($D$5:$D$79,I5:I79)/SUMIF(I5:I79,"&gt;=0",$D$5:$D$79),"–")</f>
        <v>0.9170266200275536</v>
      </c>
      <c r="J81" s="14">
        <f>IFERROR(SUMPRODUCT($D$5:$D$79,J5:J79)/SUMIF(J5:J79,"&gt;=0",$D$5:$D$79),"–")</f>
        <v>2.0</v>
      </c>
      <c r="K81" s="14">
        <f>IFERROR(SUMPRODUCT($D$5:$D$79,K5:K79)/SUMIF(K5:K79,"&gt;=0",$D$5:$D$79),"–")</f>
        <v>1.8702393113588163</v>
      </c>
      <c r="L81" s="14">
        <f>IFERROR(SUMPRODUCT($D$5:$D$79,L5:L79)/SUMIF(L5:L79,"&gt;=0",$D$5:$D$79),"–")</f>
        <v>0.9110410165791243</v>
      </c>
      <c r="M81" s="14">
        <f>IFERROR(SUMPRODUCT($D$5:$D$79,M5:M79)/SUMIF(M5:M79,"&gt;=0",$D$5:$D$79),"–")</f>
        <v>0.9110410165791243</v>
      </c>
      <c r="N81" s="14">
        <f>IFERROR(SUMPRODUCT($D$5:$D$79,N5:N79)/SUMIF(N5:N79,"&gt;=0",$D$5:$D$79),"–")</f>
        <v>0.9110410165791243</v>
      </c>
      <c r="O81" s="14">
        <f>IFERROR(SUMPRODUCT($D$5:$D$79,O5:O79)/SUMIF(O5:O79,"&gt;=0",$D$5:$D$79),"–")</f>
        <v>0.9110410165791243</v>
      </c>
      <c r="P81" s="14">
        <f>IFERROR(SUMPRODUCT($D$5:$D$79,P5:P79)/SUMIF(P5:P79,"&gt;=0",$D$5:$D$79),"–")</f>
        <v>0.9110410165791243</v>
      </c>
      <c r="Q81" s="14">
        <f>IFERROR(SUMPRODUCT($D$5:$D$79,Q5:Q79)/SUMIF(Q5:Q79,"&gt;=0",$D$5:$D$79),"–")</f>
        <v>3.0</v>
      </c>
      <c r="R81" s="14">
        <f>IFERROR(SUMPRODUCT($D$5:$D$79,R5:R79)/SUMIF(R5:R79,"&gt;=0",$D$5:$D$79),"–")</f>
        <v>1.0</v>
      </c>
      <c r="S81" s="14">
        <f>IFERROR(SUMPRODUCT($D$5:$D$79,S5:S79)/SUMIF(S5:S79,"&gt;=0",$D$5:$D$79),"–")</f>
        <v>0.0</v>
      </c>
      <c r="T81" s="14">
        <f>IFERROR(SUMPRODUCT($D$5:$D$79,T5:T79)/SUMIF(T5:T79,"&gt;=0",$D$5:$D$79),"–")</f>
        <v>1.0</v>
      </c>
      <c r="U81" s="14">
        <f>IFERROR(SUMPRODUCT($D$5:$D$79,U5:U79)/SUMIF(U5:U79,"&gt;=0",$D$5:$D$79),"–")</f>
        <v>0.90051991174737</v>
      </c>
      <c r="V81" s="14">
        <f>IFERROR(SUMPRODUCT($D$5:$D$79,V5:V79)/SUMIF(V5:V79,"&gt;=0",$D$5:$D$79),"–")</f>
        <v>0.0</v>
      </c>
      <c r="W81" s="14">
        <f>IFERROR(SUMPRODUCT($D$5:$D$79,W5:W79)/SUMIF(W5:W79,"&gt;=0",$D$5:$D$79),"–")</f>
        <v>2.0</v>
      </c>
      <c r="X81" s="14">
        <f>IFERROR(SUMPRODUCT($D$5:$D$79,X5:X79)/SUMIF(X5:X79,"&gt;=0",$D$5:$D$79),"–")</f>
        <v>2.0</v>
      </c>
      <c r="Y81" s="14">
        <f>IFERROR(SUMPRODUCT($D$5:$D$79,Y5:Y79)/SUMIF(Y5:Y79,"&gt;=0",$D$5:$D$79),"–")</f>
        <v>0.0</v>
      </c>
      <c r="Z81" s="14">
        <f>IFERROR(SUMPRODUCT($D$5:$D$79,Z5:Z79)/SUMIF(Z5:Z79,"&gt;=0",$D$5:$D$79),"–")</f>
        <v>0.9170266200275536</v>
      </c>
      <c r="AA81" s="14">
        <f>IFERROR(SUMPRODUCT($D$5:$D$79,AA5:AA79)/SUMIF(AA5:AA79,"&gt;=0",$D$5:$D$79),"–")</f>
        <v>0.0</v>
      </c>
      <c r="AB81" s="14">
        <f>IFERROR(SUMPRODUCT($D$5:$D$79,AB5:AB79)/SUMIF(AB5:AB79,"&gt;=0",$D$5:$D$79),"–")</f>
        <v>1.0</v>
      </c>
      <c r="AC81" s="14">
        <f>IFERROR(SUMPRODUCT($D$5:$D$79,AC5:AC79)/SUMIF(AC5:AC79,"&gt;=0",$D$5:$D$79),"–")</f>
        <v>1.1045693944770283</v>
      </c>
      <c r="AD81" s="14">
        <f>IFERROR(SUMPRODUCT($D$5:$D$79,AD5:AD79)/SUMIF(AD5:AD79,"&gt;=0",$D$5:$D$79),"–")</f>
        <v>1.0</v>
      </c>
      <c r="AE81" s="14">
        <f>IFERROR(SUMPRODUCT($D$5:$D$79,AE5:AE79)/SUMIF(AE5:AE79,"&gt;=0",$D$5:$D$79),"–")</f>
        <v>1.9469178356618266</v>
      </c>
      <c r="AF81" s="14">
        <f>IFERROR(SUMPRODUCT($D$5:$D$79,AF5:AF79)/SUMIF(AF5:AF79,"&gt;=0",$D$5:$D$79),"–")</f>
        <v>1.9755607644999817</v>
      </c>
      <c r="AG81" s="14">
        <f>IFERROR(SUMPRODUCT($D$5:$D$79,AG5:AG79)/SUMIF(AG5:AG79,"&gt;=0",$D$5:$D$79),"–")</f>
        <v>1.0</v>
      </c>
      <c r="AH81" s="14">
        <f>IFERROR(SUMPRODUCT($D$5:$D$79,AH5:AH79)/SUMIF(AH5:AH79,"&gt;=0",$D$5:$D$79),"–")</f>
        <v>1.9676858139892408</v>
      </c>
      <c r="AI81" s="14">
        <f>IFERROR(SUMPRODUCT($D$5:$D$79,AI5:AI79)/SUMIF(AI5:AI79,"&gt;=0",$D$5:$D$79),"–")</f>
        <v>0.9170266200275536</v>
      </c>
      <c r="AJ81" s="14">
        <f>IFERROR(SUMPRODUCT($D$5:$D$79,AJ5:AJ79)/SUMIF(AJ5:AJ79,"&gt;=0",$D$5:$D$79),"–")</f>
        <v>1.0</v>
      </c>
      <c r="AK81" s="14">
        <f>IFERROR(SUMPRODUCT($D$5:$D$79,AK5:AK79)/SUMIF(AK5:AK79,"&gt;=0",$D$5:$D$79),"–")</f>
        <v>1.0</v>
      </c>
      <c r="AL81" s="14">
        <f>IFERROR(SUMPRODUCT($D$5:$D$79,AL5:AL79)/SUMIF(AL5:AL79,"&gt;=0",$D$5:$D$79),"–")</f>
        <v>3.0</v>
      </c>
      <c r="AM81" s="14">
        <f>IFERROR(SUMPRODUCT($D$5:$D$79,AM5:AM79)/SUMIF(AM5:AM79,"&gt;=0",$D$5:$D$79),"–")</f>
        <v>0.0</v>
      </c>
      <c r="AN81" s="14">
        <f>IFERROR(SUMPRODUCT($D$5:$D$79,AN5:AN79)/SUMIF(AN5:AN79,"&gt;=0",$D$5:$D$79),"–")</f>
        <v>2.0</v>
      </c>
      <c r="AO81" s="14">
        <f>IFERROR(SUMPRODUCT($D$5:$D$79,AO5:AO79)/SUMIF(AO5:AO79,"&gt;=0",$D$5:$D$79),"–")</f>
        <v>2.0</v>
      </c>
      <c r="AP81" s="14">
        <f>IFERROR(SUMPRODUCT($D$5:$D$79,AP5:AP79)/SUMIF(AP5:AP79,"&gt;=0",$D$5:$D$79),"–")</f>
        <v>1.0</v>
      </c>
      <c r="AQ81" s="14">
        <f>IFERROR(SUMPRODUCT($D$5:$D$79,AQ5:AQ79)/SUMIF(AQ5:AQ79,"&gt;=0",$D$5:$D$79),"–")</f>
        <v>1.47072944854011</v>
      </c>
      <c r="AR81" s="14">
        <f>IFERROR(SUMPRODUCT($D$5:$D$79,AR5:AR79)/SUMIF(AR5:AR79,"&gt;=0",$D$5:$D$79),"–")</f>
        <v>1.6784107521523297</v>
      </c>
      <c r="AS81" s="14">
        <f>IFERROR(SUMPRODUCT($D$5:$D$79,AS5:AS79)/SUMIF(AS5:AS79,"&gt;=0",$D$5:$D$79),"–")</f>
        <v>0.59643665503308</v>
      </c>
      <c r="AT81" s="14">
        <f>IFERROR(SUMPRODUCT($D$5:$D$79,AT5:AT79)/SUMIF(AT5:AT79,"&gt;=0",$D$5:$D$79),"–")</f>
        <v>0.0</v>
      </c>
      <c r="AU81" s="14">
        <f>IFERROR(SUMPRODUCT($D$5:$D$79,AU5:AU79)/SUMIF(AU5:AU79,"&gt;=0",$D$5:$D$79),"–")</f>
        <v>1.975039738303117</v>
      </c>
      <c r="AV81" s="14">
        <f>IFERROR(SUMPRODUCT($D$5:$D$79,AV5:AV79)/SUMIF(AV5:AV79,"&gt;=0",$D$5:$D$79),"–")</f>
        <v>1.4077467839210147</v>
      </c>
      <c r="AW81" s="14">
        <f>IFERROR(SUMPRODUCT($D$5:$D$79,AW5:AW79)/SUMIF(AW5:AW79,"&gt;=0",$D$5:$D$79),"–")</f>
        <v>0.0</v>
      </c>
      <c r="AX81" s="14">
        <f>IFERROR(SUMPRODUCT($D$5:$D$79,AX5:AX79)/SUMIF(AX5:AX79,"&gt;=0",$D$5:$D$79),"–")</f>
        <v>3.0</v>
      </c>
      <c r="AY81" s="14">
        <f>IFERROR(SUMPRODUCT($D$5:$D$79,AY5:AY79)/SUMIF(AY5:AY79,"&gt;=0",$D$5:$D$79),"–")</f>
        <v>0.0</v>
      </c>
      <c r="AZ81" s="14">
        <f>IFERROR(SUMPRODUCT($D$5:$D$79,AZ5:AZ79)/SUMIF(AZ5:AZ79,"&gt;=0",$D$5:$D$79),"–")</f>
        <v>3.0</v>
      </c>
      <c r="BA81" s="14">
        <f>IFERROR(SUMPRODUCT($D$5:$D$79,BA5:BA79)/SUMIF(BA5:BA79,"&gt;=0",$D$5:$D$79),"–")</f>
        <v>0.9170266200275536</v>
      </c>
      <c r="BB81" s="14">
        <f>IFERROR(SUMPRODUCT($D$5:$D$79,BB5:BB79)/SUMIF(BB5:BB79,"&gt;=0",$D$5:$D$79),"–")</f>
        <v>2.0</v>
      </c>
      <c r="BC81" s="14">
        <f>IFERROR(SUMPRODUCT($D$5:$D$79,BC5:BC79)/SUMIF(BC5:BC79,"&gt;=0",$D$5:$D$79),"–")</f>
        <v>2.0</v>
      </c>
      <c r="BD81" s="14">
        <f>IFERROR(SUMPRODUCT($D$5:$D$79,BD5:BD79)/SUMIF(BD5:BD79,"&gt;=0",$D$5:$D$79),"–")</f>
        <v>2.0</v>
      </c>
      <c r="BE81" s="14">
        <f>IFERROR(SUMPRODUCT($D$5:$D$79,BE5:BE79)/SUMIF(BE5:BE79,"&gt;=0",$D$5:$D$79),"–")</f>
        <v>2.0</v>
      </c>
      <c r="BF81" s="14">
        <f>IFERROR(SUMPRODUCT($D$5:$D$79,BF5:BF79)/SUMIF(BF5:BF79,"&gt;=0",$D$5:$D$79),"–")</f>
        <v>0.0</v>
      </c>
      <c r="BG81" s="14">
        <f>IFERROR(SUMPRODUCT($D$5:$D$79,BG5:BG79)/SUMIF(BG5:BG79,"&gt;=0",$D$5:$D$79),"–")</f>
        <v>0.8826152657284291</v>
      </c>
      <c r="BH81" s="14">
        <f>IFERROR(SUMPRODUCT($D$5:$D$79,BH5:BH79)/SUMIF(BH5:BH79,"&gt;=0",$D$5:$D$79),"–")</f>
        <v>1.2234823852156578</v>
      </c>
      <c r="BI81" s="14">
        <f>IFERROR(SUMPRODUCT($D$5:$D$79,BI5:BI79)/SUMIF(BI5:BI79,"&gt;=0",$D$5:$D$79),"–")</f>
        <v>1.4291942842085155</v>
      </c>
      <c r="BJ81" s="14">
        <f>IFERROR(SUMPRODUCT($D$5:$D$79,BJ5:BJ79)/SUMIF(BJ5:BJ79,"&gt;=0",$D$5:$D$79),"–")</f>
        <v>1.9585133100137768</v>
      </c>
      <c r="BK81" s="14">
        <f>IFERROR(SUMPRODUCT($D$5:$D$79,BK5:BK79)/SUMIF(BK5:BK79,"&gt;=0",$D$5:$D$79),"–")</f>
        <v>1.5973641943185148</v>
      </c>
      <c r="BL81" s="14">
        <f>IFERROR(SUMPRODUCT($D$5:$D$79,BL5:BL79)/SUMIF(BL5:BL79,"&gt;=0",$D$5:$D$79),"–")</f>
        <v>1.2810216817836064</v>
      </c>
    </row>
    <row r="83" spans="1:64">
      <c r="A83" s="2" t="s">
        <v>259</v>
      </c>
    </row>
  </sheetData>
  <autoFilter ref="A4:BM79"/>
  <mergeCells count="16">
    <mergeCell ref="A3:A4"/>
    <mergeCell ref="B3:B4"/>
    <mergeCell ref="C3:C4"/>
    <mergeCell ref="D3:D4"/>
    <mergeCell ref="E3:E4"/>
    <mergeCell ref="F3:F4"/>
    <mergeCell ref="G3:G4"/>
    <mergeCell ref="H3:H4"/>
    <mergeCell ref="I3:Y3"/>
    <mergeCell ref="Z3:AM3"/>
    <mergeCell ref="AN3:AY3"/>
    <mergeCell ref="AZ3:BA3"/>
    <mergeCell ref="BB3:BF3"/>
    <mergeCell ref="BG3:BM3"/>
    <mergeCell ref="A80:H80"/>
    <mergeCell ref="A81:H81"/>
  </mergeCells>
  <conditionalFormatting sqref="I5:BL81">
    <cfRule type="colorScale" priority="1">
      <colorScale>
        <cfvo type="num" val="0"/>
        <cfvo type="num" val="1.5"/>
        <cfvo type="num" val="3"/>
        <color rgb="FFF8696B"/>
        <color rgb="FFFFEB84"/>
        <color rgb="FF63BE7B"/>
      </colorScale>
    </cfRule>
  </conditionalFormatting>
  <dataValidations count="1">
    <dataValidation type="list" allowBlank="1" showInputMessage="1" showErrorMessage="1" errorTitle="Note" error="0, 1, 2, 3 ou –" sqref="I5:BF79">
      <formula1>"0,1,2,3,–"</formula1>
    </dataValidation>
  </dataValidations>
  <pageMargins left="0.7" right="0.7" top="0.75" bottom="0.75" header="0.3" footer="0.3"/>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9"/>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16.7109375" customWidth="1"/>
    <col min="2" max="2" width="26.7109375" customWidth="1"/>
    <col min="3" max="3" width="42.7109375" customWidth="1"/>
    <col min="4" max="4" width="14.7109375" customWidth="1"/>
    <col min="5" max="5" width="18.7109375" customWidth="1"/>
    <col min="6" max="6" width="40.7109375" customWidth="1"/>
    <col min="7" max="8" width="44.7109375" customWidth="1"/>
    <col min="9" max="9" width="30.7109375" customWidth="1"/>
    <col min="10" max="10" width="9.7109375" customWidth="1"/>
    <col min="11" max="11" width="11.7109375" customWidth="1"/>
    <col min="12" max="12" width="8.7109375" customWidth="1"/>
    <col min="13" max="15" width="6.7109375" customWidth="1"/>
    <col min="16" max="16" width="8.7109375" customWidth="1"/>
    <col min="17" max="18" width="12.7109375" customWidth="1"/>
  </cols>
  <sheetData>
    <row r="1" spans="1:18" x14ac:dyDescent="0.25">
      <c r="A1" s="1" t="s">
        <v>260</v>
      </c>
    </row>
    <row r="2" spans="1:18" x14ac:dyDescent="0.25">
      <c r="A2" s="2" t="s">
        <v>261</v>
      </c>
    </row>
    <row r="4" spans="1:18" ht="32" customHeight="1" x14ac:dyDescent="0.25">
      <c r="A4" s="10" t="s">
        <v>262</v>
      </c>
      <c r="B4" s="10" t="s">
        <v>263</v>
      </c>
      <c r="C4" s="10" t="s">
        <v>264</v>
      </c>
      <c r="D4" s="10" t="s">
        <v>265</v>
      </c>
      <c r="E4" s="10" t="s">
        <v>266</v>
      </c>
      <c r="F4" s="10" t="s">
        <v>267</v>
      </c>
      <c r="G4" s="10" t="s">
        <v>268</v>
      </c>
      <c r="H4" s="10" t="s">
        <v>269</v>
      </c>
      <c r="I4" s="10" t="s">
        <v>270</v>
      </c>
      <c r="J4" s="10" t="s">
        <v>271</v>
      </c>
      <c r="K4" s="10" t="s">
        <v>272</v>
      </c>
      <c r="L4" s="10" t="s">
        <v>273</v>
      </c>
      <c r="M4" s="10" t="s">
        <v>274</v>
      </c>
      <c r="N4" s="10" t="s">
        <v>275</v>
      </c>
      <c r="O4" s="10" t="s">
        <v>276</v>
      </c>
      <c r="P4" s="10" t="s">
        <v>277</v>
      </c>
      <c r="Q4" s="10" t="s">
        <v>278</v>
      </c>
      <c r="R4" s="10" t="s">
        <v>279</v>
      </c>
    </row>
    <row r="5" spans="1:18" x14ac:dyDescent="0.25">
      <c r="A5" s="26" t="s">
        <v>66</v>
      </c>
      <c r="B5" s="15" t="s">
        <v>15</v>
      </c>
      <c r="C5" s="5" t="s">
        <v>280</v>
      </c>
      <c r="D5" s="5" t="s">
        <v>281</v>
      </c>
      <c r="E5" s="5" t="s">
        <v>282</v>
      </c>
      <c r="F5" s="5" t="s">
        <v>283</v>
      </c>
      <c r="G5" s="5" t="s">
        <v>284</v>
      </c>
      <c r="H5" s="5" t="s">
        <v>285</v>
      </c>
      <c r="I5" s="8" t="s">
        <v>286</v>
      </c>
      <c r="J5" s="13">
        <f>IFERROR(AVERAGE(Cultures!$I$5:$I$79),"–")</f>
        <v>0.5694444444444444</v>
      </c>
      <c r="K5" s="13">
        <f>IFERROR(SUMPRODUCT(Cultures!$D$5:$D$79,Cultures!$I$5:$I$79)/SUMIF(Cultures!$I$5:$I$79,"&gt;=0",Cultures!$D$5:$D$79),"–")</f>
        <v>0.9170266200275536</v>
      </c>
      <c r="L5" s="11">
        <f>COUNTIF(Cultures!$I$5:$I$79,0)</f>
        <v>31</v>
      </c>
      <c r="M5" s="11">
        <f>COUNTIF(Cultures!$I$5:$I$79,1)</f>
        <v>41</v>
      </c>
      <c r="N5" s="11">
        <f>COUNTIF(Cultures!$I$5:$I$79,2)</f>
        <v>0</v>
      </c>
      <c r="O5" s="11">
        <f>COUNTIF(Cultures!$I$5:$I$79,3)</f>
        <v>0</v>
      </c>
      <c r="P5" s="11">
        <f>COUNTIF(Cultures!$I$5:$I$79,"–")</f>
        <v>3</v>
      </c>
      <c r="Q5" s="12">
        <f>SUMIF(Cultures!$I$5:$I$79,0,Cultures!$D$5:$D$79)</f>
        <v>1397.86</v>
      </c>
      <c r="R5" s="12">
        <f>SUMIF(Cultures!$I$5:$I$79,"&lt;=1",Cultures!$D$5:$D$79)</f>
        <v>16847.09</v>
      </c>
    </row>
    <row r="6" spans="1:18" x14ac:dyDescent="0.25">
      <c r="A6" s="26" t="s">
        <v>66</v>
      </c>
      <c r="B6" s="15" t="s">
        <v>16</v>
      </c>
      <c r="C6" s="5" t="s">
        <v>287</v>
      </c>
      <c r="D6" s="5" t="s">
        <v>281</v>
      </c>
      <c r="E6" s="5" t="s">
        <v>288</v>
      </c>
      <c r="F6" s="5" t="s">
        <v>289</v>
      </c>
      <c r="G6" s="5" t="s">
        <v>290</v>
      </c>
      <c r="H6" s="5" t="s">
        <v>291</v>
      </c>
      <c r="I6" s="8" t="s">
        <v>286</v>
      </c>
      <c r="J6" s="13">
        <f>IFERROR(AVERAGE(Cultures!$J$5:$J$79),"–")</f>
        <v>2.0</v>
      </c>
      <c r="K6" s="13">
        <f>IFERROR(SUMPRODUCT(Cultures!$D$5:$D$79,Cultures!$J$5:$J$79)/SUMIF(Cultures!$J$5:$J$79,"&gt;=0",Cultures!$D$5:$D$79),"–")</f>
        <v>2.0</v>
      </c>
      <c r="L6" s="11">
        <f>COUNTIF(Cultures!$J$5:$J$79,0)</f>
        <v>0</v>
      </c>
      <c r="M6" s="11">
        <f>COUNTIF(Cultures!$J$5:$J$79,1)</f>
        <v>0</v>
      </c>
      <c r="N6" s="11">
        <f>COUNTIF(Cultures!$J$5:$J$79,2)</f>
        <v>72</v>
      </c>
      <c r="O6" s="11">
        <f>COUNTIF(Cultures!$J$5:$J$79,3)</f>
        <v>0</v>
      </c>
      <c r="P6" s="11">
        <f>COUNTIF(Cultures!$J$5:$J$79,"–")</f>
        <v>3</v>
      </c>
      <c r="Q6" s="12">
        <f>SUMIF(Cultures!$J$5:$J$79,0,Cultures!$D$5:$D$79)</f>
        <v>0</v>
      </c>
      <c r="R6" s="12">
        <f>SUMIF(Cultures!$J$5:$J$79,"&lt;=1",Cultures!$D$5:$D$79)</f>
        <v>0</v>
      </c>
    </row>
    <row r="7" spans="1:18" x14ac:dyDescent="0.25">
      <c r="A7" s="26" t="s">
        <v>66</v>
      </c>
      <c r="B7" s="15" t="s">
        <v>17</v>
      </c>
      <c r="C7" s="5" t="s">
        <v>292</v>
      </c>
      <c r="D7" s="5" t="s">
        <v>281</v>
      </c>
      <c r="E7" s="5" t="s">
        <v>288</v>
      </c>
      <c r="F7" s="5" t="s">
        <v>293</v>
      </c>
      <c r="G7" s="5" t="s">
        <v>294</v>
      </c>
      <c r="H7" s="5" t="s">
        <v>295</v>
      </c>
      <c r="I7" s="8" t="s">
        <v>286</v>
      </c>
      <c r="J7" s="13">
        <f>IFERROR(AVERAGE(Cultures!$K$5:$K$79),"–")</f>
        <v>1.9583333333333333</v>
      </c>
      <c r="K7" s="13">
        <f>IFERROR(SUMPRODUCT(Cultures!$D$5:$D$79,Cultures!$K$5:$K$79)/SUMIF(Cultures!$K$5:$K$79,"&gt;=0",Cultures!$D$5:$D$79),"–")</f>
        <v>1.8702393113588163</v>
      </c>
      <c r="L7" s="11">
        <f>COUNTIF(Cultures!$K$5:$K$79,0)</f>
        <v>0</v>
      </c>
      <c r="M7" s="11">
        <f>COUNTIF(Cultures!$K$5:$K$79,1)</f>
        <v>3</v>
      </c>
      <c r="N7" s="11">
        <f>COUNTIF(Cultures!$K$5:$K$79,2)</f>
        <v>69</v>
      </c>
      <c r="O7" s="11">
        <f>COUNTIF(Cultures!$K$5:$K$79,3)</f>
        <v>0</v>
      </c>
      <c r="P7" s="11">
        <f>COUNTIF(Cultures!$K$5:$K$79,"–")</f>
        <v>3</v>
      </c>
      <c r="Q7" s="12">
        <f>SUMIF(Cultures!$K$5:$K$79,0,Cultures!$D$5:$D$79)</f>
        <v>0</v>
      </c>
      <c r="R7" s="12">
        <f>SUMIF(Cultures!$K$5:$K$79,"&lt;=1",Cultures!$D$5:$D$79)</f>
        <v>2186.09</v>
      </c>
    </row>
    <row r="8" spans="1:18" x14ac:dyDescent="0.25">
      <c r="A8" s="26" t="s">
        <v>66</v>
      </c>
      <c r="B8" s="15" t="s">
        <v>18</v>
      </c>
      <c r="C8" s="5" t="s">
        <v>296</v>
      </c>
      <c r="D8" s="5" t="s">
        <v>297</v>
      </c>
      <c r="E8" s="5" t="s">
        <v>282</v>
      </c>
      <c r="F8" s="5" t="s">
        <v>298</v>
      </c>
      <c r="G8" s="5" t="s">
        <v>299</v>
      </c>
      <c r="H8" s="5" t="s">
        <v>300</v>
      </c>
      <c r="I8" s="8" t="s">
        <v>301</v>
      </c>
      <c r="J8" s="13">
        <f>IFERROR(AVERAGE(Cultures!$L$5:$L$79),"–")</f>
        <v>0.5555555555555556</v>
      </c>
      <c r="K8" s="13">
        <f>IFERROR(SUMPRODUCT(Cultures!$D$5:$D$79,Cultures!$L$5:$L$79)/SUMIF(Cultures!$L$5:$L$79,"&gt;=0",Cultures!$D$5:$D$79),"–")</f>
        <v>0.9110410165791243</v>
      </c>
      <c r="L8" s="11">
        <f>COUNTIF(Cultures!$L$5:$L$79,0)</f>
        <v>32</v>
      </c>
      <c r="M8" s="11">
        <f>COUNTIF(Cultures!$L$5:$L$79,1)</f>
        <v>40</v>
      </c>
      <c r="N8" s="11">
        <f>COUNTIF(Cultures!$L$5:$L$79,2)</f>
        <v>0</v>
      </c>
      <c r="O8" s="11">
        <f>COUNTIF(Cultures!$L$5:$L$79,3)</f>
        <v>0</v>
      </c>
      <c r="P8" s="11">
        <f>COUNTIF(Cultures!$L$5:$L$79,"–")</f>
        <v>3</v>
      </c>
      <c r="Q8" s="12">
        <f>SUMIF(Cultures!$L$5:$L$79,0,Cultures!$D$5:$D$79)</f>
        <v>1498.7</v>
      </c>
      <c r="R8" s="12">
        <f>SUMIF(Cultures!$L$5:$L$79,"&lt;=1",Cultures!$D$5:$D$79)</f>
        <v>16847.09</v>
      </c>
    </row>
    <row r="9" spans="1:18" x14ac:dyDescent="0.25">
      <c r="A9" s="26" t="s">
        <v>66</v>
      </c>
      <c r="B9" s="15" t="s">
        <v>19</v>
      </c>
      <c r="C9" s="5" t="s">
        <v>302</v>
      </c>
      <c r="D9" s="5" t="s">
        <v>297</v>
      </c>
      <c r="E9" s="5" t="s">
        <v>282</v>
      </c>
      <c r="F9" s="5" t="s">
        <v>298</v>
      </c>
      <c r="G9" s="5" t="s">
        <v>303</v>
      </c>
      <c r="H9" s="5" t="s">
        <v>300</v>
      </c>
      <c r="I9" s="8" t="s">
        <v>301</v>
      </c>
      <c r="J9" s="13">
        <f>IFERROR(AVERAGE(Cultures!$M$5:$M$79),"–")</f>
        <v>0.5555555555555556</v>
      </c>
      <c r="K9" s="13">
        <f>IFERROR(SUMPRODUCT(Cultures!$D$5:$D$79,Cultures!$M$5:$M$79)/SUMIF(Cultures!$M$5:$M$79,"&gt;=0",Cultures!$D$5:$D$79),"–")</f>
        <v>0.9110410165791243</v>
      </c>
      <c r="L9" s="11">
        <f>COUNTIF(Cultures!$M$5:$M$79,0)</f>
        <v>32</v>
      </c>
      <c r="M9" s="11">
        <f>COUNTIF(Cultures!$M$5:$M$79,1)</f>
        <v>40</v>
      </c>
      <c r="N9" s="11">
        <f>COUNTIF(Cultures!$M$5:$M$79,2)</f>
        <v>0</v>
      </c>
      <c r="O9" s="11">
        <f>COUNTIF(Cultures!$M$5:$M$79,3)</f>
        <v>0</v>
      </c>
      <c r="P9" s="11">
        <f>COUNTIF(Cultures!$M$5:$M$79,"–")</f>
        <v>3</v>
      </c>
      <c r="Q9" s="12">
        <f>SUMIF(Cultures!$M$5:$M$79,0,Cultures!$D$5:$D$79)</f>
        <v>1498.7</v>
      </c>
      <c r="R9" s="12">
        <f>SUMIF(Cultures!$M$5:$M$79,"&lt;=1",Cultures!$D$5:$D$79)</f>
        <v>16847.09</v>
      </c>
    </row>
    <row r="10" spans="1:18" x14ac:dyDescent="0.25">
      <c r="A10" s="26" t="s">
        <v>66</v>
      </c>
      <c r="B10" s="15" t="s">
        <v>20</v>
      </c>
      <c r="C10" s="5" t="s">
        <v>304</v>
      </c>
      <c r="D10" s="5" t="s">
        <v>305</v>
      </c>
      <c r="E10" s="5" t="s">
        <v>282</v>
      </c>
      <c r="F10" s="5" t="s">
        <v>306</v>
      </c>
      <c r="G10" s="5" t="s">
        <v>307</v>
      </c>
      <c r="H10" s="5" t="s">
        <v>300</v>
      </c>
      <c r="I10" s="8" t="s">
        <v>301</v>
      </c>
      <c r="J10" s="13">
        <f>IFERROR(AVERAGE(Cultures!$N$5:$N$79),"–")</f>
        <v>0.5555555555555556</v>
      </c>
      <c r="K10" s="13">
        <f>IFERROR(SUMPRODUCT(Cultures!$D$5:$D$79,Cultures!$N$5:$N$79)/SUMIF(Cultures!$N$5:$N$79,"&gt;=0",Cultures!$D$5:$D$79),"–")</f>
        <v>0.9110410165791243</v>
      </c>
      <c r="L10" s="11">
        <f>COUNTIF(Cultures!$N$5:$N$79,0)</f>
        <v>32</v>
      </c>
      <c r="M10" s="11">
        <f>COUNTIF(Cultures!$N$5:$N$79,1)</f>
        <v>40</v>
      </c>
      <c r="N10" s="11">
        <f>COUNTIF(Cultures!$N$5:$N$79,2)</f>
        <v>0</v>
      </c>
      <c r="O10" s="11">
        <f>COUNTIF(Cultures!$N$5:$N$79,3)</f>
        <v>0</v>
      </c>
      <c r="P10" s="11">
        <f>COUNTIF(Cultures!$N$5:$N$79,"–")</f>
        <v>3</v>
      </c>
      <c r="Q10" s="12">
        <f>SUMIF(Cultures!$N$5:$N$79,0,Cultures!$D$5:$D$79)</f>
        <v>1498.7</v>
      </c>
      <c r="R10" s="12">
        <f>SUMIF(Cultures!$N$5:$N$79,"&lt;=1",Cultures!$D$5:$D$79)</f>
        <v>16847.09</v>
      </c>
    </row>
    <row r="11" spans="1:18" x14ac:dyDescent="0.25">
      <c r="A11" s="26" t="s">
        <v>66</v>
      </c>
      <c r="B11" s="15" t="s">
        <v>21</v>
      </c>
      <c r="C11" s="5" t="s">
        <v>308</v>
      </c>
      <c r="D11" s="5" t="s">
        <v>305</v>
      </c>
      <c r="E11" s="5" t="s">
        <v>282</v>
      </c>
      <c r="F11" s="5" t="s">
        <v>298</v>
      </c>
      <c r="G11" s="5" t="s">
        <v>309</v>
      </c>
      <c r="H11" s="5" t="s">
        <v>300</v>
      </c>
      <c r="I11" s="8" t="s">
        <v>301</v>
      </c>
      <c r="J11" s="13">
        <f>IFERROR(AVERAGE(Cultures!$O$5:$O$79),"–")</f>
        <v>0.5555555555555556</v>
      </c>
      <c r="K11" s="13">
        <f>IFERROR(SUMPRODUCT(Cultures!$D$5:$D$79,Cultures!$O$5:$O$79)/SUMIF(Cultures!$O$5:$O$79,"&gt;=0",Cultures!$D$5:$D$79),"–")</f>
        <v>0.9110410165791243</v>
      </c>
      <c r="L11" s="11">
        <f>COUNTIF(Cultures!$O$5:$O$79,0)</f>
        <v>32</v>
      </c>
      <c r="M11" s="11">
        <f>COUNTIF(Cultures!$O$5:$O$79,1)</f>
        <v>40</v>
      </c>
      <c r="N11" s="11">
        <f>COUNTIF(Cultures!$O$5:$O$79,2)</f>
        <v>0</v>
      </c>
      <c r="O11" s="11">
        <f>COUNTIF(Cultures!$O$5:$O$79,3)</f>
        <v>0</v>
      </c>
      <c r="P11" s="11">
        <f>COUNTIF(Cultures!$O$5:$O$79,"–")</f>
        <v>3</v>
      </c>
      <c r="Q11" s="12">
        <f>SUMIF(Cultures!$O$5:$O$79,0,Cultures!$D$5:$D$79)</f>
        <v>1498.7</v>
      </c>
      <c r="R11" s="12">
        <f>SUMIF(Cultures!$O$5:$O$79,"&lt;=1",Cultures!$D$5:$D$79)</f>
        <v>16847.09</v>
      </c>
    </row>
    <row r="12" spans="1:18" x14ac:dyDescent="0.25">
      <c r="A12" s="26" t="s">
        <v>66</v>
      </c>
      <c r="B12" s="15" t="s">
        <v>22</v>
      </c>
      <c r="C12" s="5" t="s">
        <v>310</v>
      </c>
      <c r="D12" s="5" t="s">
        <v>305</v>
      </c>
      <c r="E12" s="5" t="s">
        <v>282</v>
      </c>
      <c r="F12" s="5" t="s">
        <v>298</v>
      </c>
      <c r="G12" s="5" t="s">
        <v>311</v>
      </c>
      <c r="H12" s="5" t="s">
        <v>300</v>
      </c>
      <c r="I12" s="8" t="s">
        <v>301</v>
      </c>
      <c r="J12" s="13">
        <f>IFERROR(AVERAGE(Cultures!$P$5:$P$79),"–")</f>
        <v>0.5555555555555556</v>
      </c>
      <c r="K12" s="13">
        <f>IFERROR(SUMPRODUCT(Cultures!$D$5:$D$79,Cultures!$P$5:$P$79)/SUMIF(Cultures!$P$5:$P$79,"&gt;=0",Cultures!$D$5:$D$79),"–")</f>
        <v>0.9110410165791243</v>
      </c>
      <c r="L12" s="11">
        <f>COUNTIF(Cultures!$P$5:$P$79,0)</f>
        <v>32</v>
      </c>
      <c r="M12" s="11">
        <f>COUNTIF(Cultures!$P$5:$P$79,1)</f>
        <v>40</v>
      </c>
      <c r="N12" s="11">
        <f>COUNTIF(Cultures!$P$5:$P$79,2)</f>
        <v>0</v>
      </c>
      <c r="O12" s="11">
        <f>COUNTIF(Cultures!$P$5:$P$79,3)</f>
        <v>0</v>
      </c>
      <c r="P12" s="11">
        <f>COUNTIF(Cultures!$P$5:$P$79,"–")</f>
        <v>3</v>
      </c>
      <c r="Q12" s="12">
        <f>SUMIF(Cultures!$P$5:$P$79,0,Cultures!$D$5:$D$79)</f>
        <v>1498.7</v>
      </c>
      <c r="R12" s="12">
        <f>SUMIF(Cultures!$P$5:$P$79,"&lt;=1",Cultures!$D$5:$D$79)</f>
        <v>16847.09</v>
      </c>
    </row>
    <row r="13" spans="1:18" x14ac:dyDescent="0.25">
      <c r="A13" s="26" t="s">
        <v>66</v>
      </c>
      <c r="B13" s="15" t="s">
        <v>23</v>
      </c>
      <c r="C13" s="5" t="s">
        <v>312</v>
      </c>
      <c r="D13" s="5" t="s">
        <v>313</v>
      </c>
      <c r="E13" s="5" t="s">
        <v>282</v>
      </c>
      <c r="F13" s="5" t="s">
        <v>314</v>
      </c>
      <c r="G13" s="5" t="s">
        <v>315</v>
      </c>
      <c r="H13" s="5" t="s">
        <v>316</v>
      </c>
      <c r="J13" s="13">
        <f>IFERROR(AVERAGE(Cultures!$Q$5:$Q$79),"–")</f>
        <v>3.0</v>
      </c>
      <c r="K13" s="13">
        <f>IFERROR(SUMPRODUCT(Cultures!$D$5:$D$79,Cultures!$Q$5:$Q$79)/SUMIF(Cultures!$Q$5:$Q$79,"&gt;=0",Cultures!$D$5:$D$79),"–")</f>
        <v>3.0</v>
      </c>
      <c r="L13" s="11">
        <f>COUNTIF(Cultures!$Q$5:$Q$79,0)</f>
        <v>0</v>
      </c>
      <c r="M13" s="11">
        <f>COUNTIF(Cultures!$Q$5:$Q$79,1)</f>
        <v>0</v>
      </c>
      <c r="N13" s="11">
        <f>COUNTIF(Cultures!$Q$5:$Q$79,2)</f>
        <v>0</v>
      </c>
      <c r="O13" s="11">
        <f>COUNTIF(Cultures!$Q$5:$Q$79,3)</f>
        <v>72</v>
      </c>
      <c r="P13" s="11">
        <f>COUNTIF(Cultures!$Q$5:$Q$79,"–")</f>
        <v>3</v>
      </c>
      <c r="Q13" s="12">
        <f>SUMIF(Cultures!$Q$5:$Q$79,0,Cultures!$D$5:$D$79)</f>
        <v>0</v>
      </c>
      <c r="R13" s="12">
        <f>SUMIF(Cultures!$Q$5:$Q$79,"&lt;=1",Cultures!$D$5:$D$79)</f>
        <v>0</v>
      </c>
    </row>
    <row r="14" spans="1:18" x14ac:dyDescent="0.25">
      <c r="A14" s="26" t="s">
        <v>66</v>
      </c>
      <c r="B14" s="15" t="s">
        <v>24</v>
      </c>
      <c r="C14" s="5" t="s">
        <v>317</v>
      </c>
      <c r="D14" s="5" t="s">
        <v>316</v>
      </c>
      <c r="E14" s="5" t="s">
        <v>282</v>
      </c>
      <c r="F14" s="5" t="s">
        <v>318</v>
      </c>
      <c r="G14" s="5" t="s">
        <v>319</v>
      </c>
      <c r="H14" s="5" t="s">
        <v>320</v>
      </c>
      <c r="I14" s="8" t="s">
        <v>321</v>
      </c>
      <c r="J14" s="13">
        <f>IFERROR(AVERAGE(Cultures!$R$5:$R$79),"–")</f>
        <v>1.0</v>
      </c>
      <c r="K14" s="13">
        <f>IFERROR(SUMPRODUCT(Cultures!$D$5:$D$79,Cultures!$R$5:$R$79)/SUMIF(Cultures!$R$5:$R$79,"&gt;=0",Cultures!$D$5:$D$79),"–")</f>
        <v>1.0</v>
      </c>
      <c r="L14" s="11">
        <f>COUNTIF(Cultures!$R$5:$R$79,0)</f>
        <v>0</v>
      </c>
      <c r="M14" s="11">
        <f>COUNTIF(Cultures!$R$5:$R$79,1)</f>
        <v>72</v>
      </c>
      <c r="N14" s="11">
        <f>COUNTIF(Cultures!$R$5:$R$79,2)</f>
        <v>0</v>
      </c>
      <c r="O14" s="11">
        <f>COUNTIF(Cultures!$R$5:$R$79,3)</f>
        <v>0</v>
      </c>
      <c r="P14" s="11">
        <f>COUNTIF(Cultures!$R$5:$R$79,"–")</f>
        <v>3</v>
      </c>
      <c r="Q14" s="12">
        <f>SUMIF(Cultures!$R$5:$R$79,0,Cultures!$D$5:$D$79)</f>
        <v>0</v>
      </c>
      <c r="R14" s="12">
        <f>SUMIF(Cultures!$R$5:$R$79,"&lt;=1",Cultures!$D$5:$D$79)</f>
        <v>16847.09</v>
      </c>
    </row>
    <row r="15" spans="1:18" x14ac:dyDescent="0.25">
      <c r="A15" s="26" t="s">
        <v>66</v>
      </c>
      <c r="B15" s="15" t="s">
        <v>25</v>
      </c>
      <c r="C15" s="5" t="s">
        <v>322</v>
      </c>
      <c r="D15" s="5" t="s">
        <v>316</v>
      </c>
      <c r="E15" s="5" t="s">
        <v>282</v>
      </c>
      <c r="F15" s="5" t="s">
        <v>298</v>
      </c>
      <c r="G15" s="5" t="s">
        <v>323</v>
      </c>
      <c r="H15" s="5" t="s">
        <v>324</v>
      </c>
      <c r="I15" s="8" t="s">
        <v>325</v>
      </c>
      <c r="J15" s="13">
        <f>IFERROR(AVERAGE(Cultures!$S$5:$S$79),"–")</f>
        <v>0.0</v>
      </c>
      <c r="K15" s="13">
        <f>IFERROR(SUMPRODUCT(Cultures!$D$5:$D$79,Cultures!$S$5:$S$79)/SUMIF(Cultures!$S$5:$S$79,"&gt;=0",Cultures!$D$5:$D$79),"–")</f>
        <v>0.0</v>
      </c>
      <c r="L15" s="11">
        <f>COUNTIF(Cultures!$S$5:$S$79,0)</f>
        <v>72</v>
      </c>
      <c r="M15" s="11">
        <f>COUNTIF(Cultures!$S$5:$S$79,1)</f>
        <v>0</v>
      </c>
      <c r="N15" s="11">
        <f>COUNTIF(Cultures!$S$5:$S$79,2)</f>
        <v>0</v>
      </c>
      <c r="O15" s="11">
        <f>COUNTIF(Cultures!$S$5:$S$79,3)</f>
        <v>0</v>
      </c>
      <c r="P15" s="11">
        <f>COUNTIF(Cultures!$S$5:$S$79,"–")</f>
        <v>3</v>
      </c>
      <c r="Q15" s="12">
        <f>SUMIF(Cultures!$S$5:$S$79,0,Cultures!$D$5:$D$79)</f>
        <v>16847.09</v>
      </c>
      <c r="R15" s="12">
        <f>SUMIF(Cultures!$S$5:$S$79,"&lt;=1",Cultures!$D$5:$D$79)</f>
        <v>16847.09</v>
      </c>
    </row>
    <row r="16" spans="1:18" x14ac:dyDescent="0.25">
      <c r="A16" s="26" t="s">
        <v>66</v>
      </c>
      <c r="B16" s="15" t="s">
        <v>26</v>
      </c>
      <c r="C16" s="5" t="s">
        <v>326</v>
      </c>
      <c r="D16" s="5" t="s">
        <v>316</v>
      </c>
      <c r="E16" s="5" t="s">
        <v>282</v>
      </c>
      <c r="F16" s="5" t="s">
        <v>298</v>
      </c>
      <c r="G16" s="5" t="s">
        <v>327</v>
      </c>
      <c r="H16" s="5" t="s">
        <v>328</v>
      </c>
      <c r="I16" s="8" t="s">
        <v>325</v>
      </c>
      <c r="J16" s="13">
        <f>IFERROR(AVERAGE(Cultures!$T$5:$T$79),"–")</f>
        <v>1.0</v>
      </c>
      <c r="K16" s="13">
        <f>IFERROR(SUMPRODUCT(Cultures!$D$5:$D$79,Cultures!$T$5:$T$79)/SUMIF(Cultures!$T$5:$T$79,"&gt;=0",Cultures!$D$5:$D$79),"–")</f>
        <v>1.0</v>
      </c>
      <c r="L16" s="11">
        <f>COUNTIF(Cultures!$T$5:$T$79,0)</f>
        <v>0</v>
      </c>
      <c r="M16" s="11">
        <f>COUNTIF(Cultures!$T$5:$T$79,1)</f>
        <v>72</v>
      </c>
      <c r="N16" s="11">
        <f>COUNTIF(Cultures!$T$5:$T$79,2)</f>
        <v>0</v>
      </c>
      <c r="O16" s="11">
        <f>COUNTIF(Cultures!$T$5:$T$79,3)</f>
        <v>0</v>
      </c>
      <c r="P16" s="11">
        <f>COUNTIF(Cultures!$T$5:$T$79,"–")</f>
        <v>3</v>
      </c>
      <c r="Q16" s="12">
        <f>SUMIF(Cultures!$T$5:$T$79,0,Cultures!$D$5:$D$79)</f>
        <v>0</v>
      </c>
      <c r="R16" s="12">
        <f>SUMIF(Cultures!$T$5:$T$79,"&lt;=1",Cultures!$D$5:$D$79)</f>
        <v>16847.09</v>
      </c>
    </row>
    <row r="17" spans="1:18" x14ac:dyDescent="0.25">
      <c r="A17" s="26" t="s">
        <v>66</v>
      </c>
      <c r="B17" s="15" t="s">
        <v>27</v>
      </c>
      <c r="C17" s="5" t="s">
        <v>329</v>
      </c>
      <c r="D17" s="5" t="s">
        <v>316</v>
      </c>
      <c r="E17" s="5" t="s">
        <v>282</v>
      </c>
      <c r="F17" s="5" t="s">
        <v>298</v>
      </c>
      <c r="G17" s="5" t="s">
        <v>330</v>
      </c>
      <c r="H17" s="5" t="s">
        <v>331</v>
      </c>
      <c r="I17" s="8" t="s">
        <v>332</v>
      </c>
      <c r="J17" s="13">
        <f>IFERROR(AVERAGE(Cultures!$U$5:$U$79),"–")</f>
        <v>0.5138888888888888</v>
      </c>
      <c r="K17" s="13">
        <f>IFERROR(SUMPRODUCT(Cultures!$D$5:$D$79,Cultures!$U$5:$U$79)/SUMIF(Cultures!$U$5:$U$79,"&gt;=0",Cultures!$D$5:$D$79),"–")</f>
        <v>0.90051991174737</v>
      </c>
      <c r="L17" s="11">
        <f>COUNTIF(Cultures!$U$5:$U$79,0)</f>
        <v>35</v>
      </c>
      <c r="M17" s="11">
        <f>COUNTIF(Cultures!$U$5:$U$79,1)</f>
        <v>37</v>
      </c>
      <c r="N17" s="11">
        <f>COUNTIF(Cultures!$U$5:$U$79,2)</f>
        <v>0</v>
      </c>
      <c r="O17" s="11">
        <f>COUNTIF(Cultures!$U$5:$U$79,3)</f>
        <v>0</v>
      </c>
      <c r="P17" s="11">
        <f>COUNTIF(Cultures!$U$5:$U$79,"–")</f>
        <v>3</v>
      </c>
      <c r="Q17" s="12">
        <f>SUMIF(Cultures!$U$5:$U$79,0,Cultures!$D$5:$D$79)</f>
        <v>1675.95</v>
      </c>
      <c r="R17" s="12">
        <f>SUMIF(Cultures!$U$5:$U$79,"&lt;=1",Cultures!$D$5:$D$79)</f>
        <v>16847.09</v>
      </c>
    </row>
    <row r="18" spans="1:18" x14ac:dyDescent="0.25">
      <c r="A18" s="26" t="s">
        <v>66</v>
      </c>
      <c r="B18" s="15" t="s">
        <v>28</v>
      </c>
      <c r="C18" s="5" t="s">
        <v>333</v>
      </c>
      <c r="D18" s="5" t="s">
        <v>334</v>
      </c>
      <c r="E18" s="5" t="s">
        <v>282</v>
      </c>
      <c r="F18" s="5" t="s">
        <v>335</v>
      </c>
      <c r="G18" s="5" t="s">
        <v>336</v>
      </c>
      <c r="H18" s="5" t="s">
        <v>337</v>
      </c>
      <c r="I18" s="8" t="s">
        <v>325</v>
      </c>
      <c r="J18" s="13">
        <f>IFERROR(AVERAGE(Cultures!$V$5:$V$79),"–")</f>
        <v>0.0</v>
      </c>
      <c r="K18" s="13">
        <f>IFERROR(SUMPRODUCT(Cultures!$D$5:$D$79,Cultures!$V$5:$V$79)/SUMIF(Cultures!$V$5:$V$79,"&gt;=0",Cultures!$D$5:$D$79),"–")</f>
        <v>0.0</v>
      </c>
      <c r="L18" s="11">
        <f>COUNTIF(Cultures!$V$5:$V$79,0)</f>
        <v>72</v>
      </c>
      <c r="M18" s="11">
        <f>COUNTIF(Cultures!$V$5:$V$79,1)</f>
        <v>0</v>
      </c>
      <c r="N18" s="11">
        <f>COUNTIF(Cultures!$V$5:$V$79,2)</f>
        <v>0</v>
      </c>
      <c r="O18" s="11">
        <f>COUNTIF(Cultures!$V$5:$V$79,3)</f>
        <v>0</v>
      </c>
      <c r="P18" s="11">
        <f>COUNTIF(Cultures!$V$5:$V$79,"–")</f>
        <v>3</v>
      </c>
      <c r="Q18" s="12">
        <f>SUMIF(Cultures!$V$5:$V$79,0,Cultures!$D$5:$D$79)</f>
        <v>16847.09</v>
      </c>
      <c r="R18" s="12">
        <f>SUMIF(Cultures!$V$5:$V$79,"&lt;=1",Cultures!$D$5:$D$79)</f>
        <v>16847.09</v>
      </c>
    </row>
    <row r="19" spans="1:18" x14ac:dyDescent="0.25">
      <c r="A19" s="26" t="s">
        <v>66</v>
      </c>
      <c r="B19" s="15" t="s">
        <v>29</v>
      </c>
      <c r="C19" s="5" t="s">
        <v>338</v>
      </c>
      <c r="D19" s="5" t="s">
        <v>339</v>
      </c>
      <c r="E19" s="5" t="s">
        <v>282</v>
      </c>
      <c r="F19" s="5" t="s">
        <v>340</v>
      </c>
      <c r="G19" s="5" t="s">
        <v>341</v>
      </c>
      <c r="H19" s="5" t="s">
        <v>342</v>
      </c>
      <c r="I19" s="8" t="s">
        <v>343</v>
      </c>
      <c r="J19" s="13">
        <f>IFERROR(AVERAGE(Cultures!$W$5:$W$79),"–")</f>
        <v>2.0</v>
      </c>
      <c r="K19" s="13">
        <f>IFERROR(SUMPRODUCT(Cultures!$D$5:$D$79,Cultures!$W$5:$W$79)/SUMIF(Cultures!$W$5:$W$79,"&gt;=0",Cultures!$D$5:$D$79),"–")</f>
        <v>2.0</v>
      </c>
      <c r="L19" s="11">
        <f>COUNTIF(Cultures!$W$5:$W$79,0)</f>
        <v>0</v>
      </c>
      <c r="M19" s="11">
        <f>COUNTIF(Cultures!$W$5:$W$79,1)</f>
        <v>0</v>
      </c>
      <c r="N19" s="11">
        <f>COUNTIF(Cultures!$W$5:$W$79,2)</f>
        <v>72</v>
      </c>
      <c r="O19" s="11">
        <f>COUNTIF(Cultures!$W$5:$W$79,3)</f>
        <v>0</v>
      </c>
      <c r="P19" s="11">
        <f>COUNTIF(Cultures!$W$5:$W$79,"–")</f>
        <v>3</v>
      </c>
      <c r="Q19" s="12">
        <f>SUMIF(Cultures!$W$5:$W$79,0,Cultures!$D$5:$D$79)</f>
        <v>0</v>
      </c>
      <c r="R19" s="12">
        <f>SUMIF(Cultures!$W$5:$W$79,"&lt;=1",Cultures!$D$5:$D$79)</f>
        <v>0</v>
      </c>
    </row>
    <row r="20" spans="1:18" x14ac:dyDescent="0.25">
      <c r="A20" s="26" t="s">
        <v>66</v>
      </c>
      <c r="B20" s="15" t="s">
        <v>30</v>
      </c>
      <c r="C20" s="5" t="s">
        <v>344</v>
      </c>
      <c r="D20" s="5" t="s">
        <v>316</v>
      </c>
      <c r="E20" s="5" t="s">
        <v>345</v>
      </c>
      <c r="F20" s="5" t="s">
        <v>346</v>
      </c>
      <c r="G20" s="5" t="s">
        <v>347</v>
      </c>
      <c r="H20" s="5" t="s">
        <v>316</v>
      </c>
      <c r="J20" s="13">
        <f>IFERROR(AVERAGE(Cultures!$X$5:$X$79),"–")</f>
        <v>2.0</v>
      </c>
      <c r="K20" s="13">
        <f>IFERROR(SUMPRODUCT(Cultures!$D$5:$D$79,Cultures!$X$5:$X$79)/SUMIF(Cultures!$X$5:$X$79,"&gt;=0",Cultures!$D$5:$D$79),"–")</f>
        <v>2.0</v>
      </c>
      <c r="L20" s="11">
        <f>COUNTIF(Cultures!$X$5:$X$79,0)</f>
        <v>0</v>
      </c>
      <c r="M20" s="11">
        <f>COUNTIF(Cultures!$X$5:$X$79,1)</f>
        <v>0</v>
      </c>
      <c r="N20" s="11">
        <f>COUNTIF(Cultures!$X$5:$X$79,2)</f>
        <v>72</v>
      </c>
      <c r="O20" s="11">
        <f>COUNTIF(Cultures!$X$5:$X$79,3)</f>
        <v>0</v>
      </c>
      <c r="P20" s="11">
        <f>COUNTIF(Cultures!$X$5:$X$79,"–")</f>
        <v>3</v>
      </c>
      <c r="Q20" s="12">
        <f>SUMIF(Cultures!$X$5:$X$79,0,Cultures!$D$5:$D$79)</f>
        <v>0</v>
      </c>
      <c r="R20" s="12">
        <f>SUMIF(Cultures!$X$5:$X$79,"&lt;=1",Cultures!$D$5:$D$79)</f>
        <v>0</v>
      </c>
    </row>
    <row r="21" spans="1:18" x14ac:dyDescent="0.25">
      <c r="A21" s="26" t="s">
        <v>66</v>
      </c>
      <c r="B21" s="15" t="s">
        <v>31</v>
      </c>
      <c r="C21" s="5" t="s">
        <v>348</v>
      </c>
      <c r="D21" s="5" t="s">
        <v>316</v>
      </c>
      <c r="E21" s="5" t="s">
        <v>349</v>
      </c>
      <c r="F21" s="5" t="s">
        <v>350</v>
      </c>
      <c r="G21" s="5" t="s">
        <v>351</v>
      </c>
      <c r="H21" s="5" t="s">
        <v>352</v>
      </c>
      <c r="I21" s="8" t="s">
        <v>325</v>
      </c>
      <c r="J21" s="13">
        <f>IFERROR(AVERAGE(Cultures!$Y$5:$Y$79),"–")</f>
        <v>0.0</v>
      </c>
      <c r="K21" s="13">
        <f>IFERROR(SUMPRODUCT(Cultures!$D$5:$D$79,Cultures!$Y$5:$Y$79)/SUMIF(Cultures!$Y$5:$Y$79,"&gt;=0",Cultures!$D$5:$D$79),"–")</f>
        <v>0.0</v>
      </c>
      <c r="L21" s="11">
        <f>COUNTIF(Cultures!$Y$5:$Y$79,0)</f>
        <v>2</v>
      </c>
      <c r="M21" s="11">
        <f>COUNTIF(Cultures!$Y$5:$Y$79,1)</f>
        <v>0</v>
      </c>
      <c r="N21" s="11">
        <f>COUNTIF(Cultures!$Y$5:$Y$79,2)</f>
        <v>0</v>
      </c>
      <c r="O21" s="11">
        <f>COUNTIF(Cultures!$Y$5:$Y$79,3)</f>
        <v>0</v>
      </c>
      <c r="P21" s="11">
        <f>COUNTIF(Cultures!$Y$5:$Y$79,"–")</f>
        <v>73</v>
      </c>
      <c r="Q21" s="12">
        <f>SUMIF(Cultures!$Y$5:$Y$79,0,Cultures!$D$5:$D$79)</f>
        <v>6109.43</v>
      </c>
      <c r="R21" s="12">
        <f>SUMIF(Cultures!$Y$5:$Y$79,"&lt;=1",Cultures!$D$5:$D$79)</f>
        <v>6109.43</v>
      </c>
    </row>
    <row r="22" spans="1:18" x14ac:dyDescent="0.25">
      <c r="A22" s="27" t="s">
        <v>67</v>
      </c>
      <c r="B22" s="15" t="s">
        <v>32</v>
      </c>
      <c r="C22" s="5" t="s">
        <v>353</v>
      </c>
      <c r="D22" s="5" t="s">
        <v>354</v>
      </c>
      <c r="E22" s="5" t="s">
        <v>355</v>
      </c>
      <c r="F22" s="5" t="s">
        <v>356</v>
      </c>
      <c r="G22" s="5" t="s">
        <v>357</v>
      </c>
      <c r="H22" s="5" t="s">
        <v>358</v>
      </c>
      <c r="I22" s="8" t="s">
        <v>301</v>
      </c>
      <c r="J22" s="13">
        <f>IFERROR(AVERAGE(Cultures!$Z$5:$Z$79),"–")</f>
        <v>0.5694444444444444</v>
      </c>
      <c r="K22" s="13">
        <f>IFERROR(SUMPRODUCT(Cultures!$D$5:$D$79,Cultures!$Z$5:$Z$79)/SUMIF(Cultures!$Z$5:$Z$79,"&gt;=0",Cultures!$D$5:$D$79),"–")</f>
        <v>0.9170266200275536</v>
      </c>
      <c r="L22" s="11">
        <f>COUNTIF(Cultures!$Z$5:$Z$79,0)</f>
        <v>31</v>
      </c>
      <c r="M22" s="11">
        <f>COUNTIF(Cultures!$Z$5:$Z$79,1)</f>
        <v>41</v>
      </c>
      <c r="N22" s="11">
        <f>COUNTIF(Cultures!$Z$5:$Z$79,2)</f>
        <v>0</v>
      </c>
      <c r="O22" s="11">
        <f>COUNTIF(Cultures!$Z$5:$Z$79,3)</f>
        <v>0</v>
      </c>
      <c r="P22" s="11">
        <f>COUNTIF(Cultures!$Z$5:$Z$79,"–")</f>
        <v>3</v>
      </c>
      <c r="Q22" s="12">
        <f>SUMIF(Cultures!$Z$5:$Z$79,0,Cultures!$D$5:$D$79)</f>
        <v>1397.86</v>
      </c>
      <c r="R22" s="12">
        <f>SUMIF(Cultures!$Z$5:$Z$79,"&lt;=1",Cultures!$D$5:$D$79)</f>
        <v>16847.09</v>
      </c>
    </row>
    <row r="23" spans="1:18" x14ac:dyDescent="0.25">
      <c r="A23" s="27" t="s">
        <v>67</v>
      </c>
      <c r="B23" s="15" t="s">
        <v>33</v>
      </c>
      <c r="C23" s="5" t="s">
        <v>359</v>
      </c>
      <c r="D23" s="5" t="s">
        <v>316</v>
      </c>
      <c r="E23" s="5" t="s">
        <v>355</v>
      </c>
      <c r="F23" s="5" t="s">
        <v>298</v>
      </c>
      <c r="G23" s="5" t="s">
        <v>360</v>
      </c>
      <c r="H23" s="5" t="s">
        <v>361</v>
      </c>
      <c r="I23" s="8" t="s">
        <v>325</v>
      </c>
      <c r="J23" s="13">
        <f>IFERROR(AVERAGE(Cultures!$AA$5:$AA$79),"–")</f>
        <v>0.0</v>
      </c>
      <c r="K23" s="13">
        <f>IFERROR(SUMPRODUCT(Cultures!$D$5:$D$79,Cultures!$AA$5:$AA$79)/SUMIF(Cultures!$AA$5:$AA$79,"&gt;=0",Cultures!$D$5:$D$79),"–")</f>
        <v>0.0</v>
      </c>
      <c r="L23" s="11">
        <f>COUNTIF(Cultures!$AA$5:$AA$79,0)</f>
        <v>72</v>
      </c>
      <c r="M23" s="11">
        <f>COUNTIF(Cultures!$AA$5:$AA$79,1)</f>
        <v>0</v>
      </c>
      <c r="N23" s="11">
        <f>COUNTIF(Cultures!$AA$5:$AA$79,2)</f>
        <v>0</v>
      </c>
      <c r="O23" s="11">
        <f>COUNTIF(Cultures!$AA$5:$AA$79,3)</f>
        <v>0</v>
      </c>
      <c r="P23" s="11">
        <f>COUNTIF(Cultures!$AA$5:$AA$79,"–")</f>
        <v>3</v>
      </c>
      <c r="Q23" s="12">
        <f>SUMIF(Cultures!$AA$5:$AA$79,0,Cultures!$D$5:$D$79)</f>
        <v>16847.09</v>
      </c>
      <c r="R23" s="12">
        <f>SUMIF(Cultures!$AA$5:$AA$79,"&lt;=1",Cultures!$D$5:$D$79)</f>
        <v>16847.09</v>
      </c>
    </row>
    <row r="24" spans="1:18" x14ac:dyDescent="0.25">
      <c r="A24" s="27" t="s">
        <v>67</v>
      </c>
      <c r="B24" s="15" t="s">
        <v>34</v>
      </c>
      <c r="C24" s="5" t="s">
        <v>362</v>
      </c>
      <c r="D24" s="5" t="s">
        <v>316</v>
      </c>
      <c r="E24" s="5" t="s">
        <v>355</v>
      </c>
      <c r="F24" s="5" t="s">
        <v>298</v>
      </c>
      <c r="G24" s="5" t="s">
        <v>363</v>
      </c>
      <c r="H24" s="5" t="s">
        <v>364</v>
      </c>
      <c r="I24" s="8" t="s">
        <v>301</v>
      </c>
      <c r="J24" s="13">
        <f>IFERROR(AVERAGE(Cultures!$AB$5:$AB$79),"–")</f>
        <v>1.0</v>
      </c>
      <c r="K24" s="13">
        <f>IFERROR(SUMPRODUCT(Cultures!$D$5:$D$79,Cultures!$AB$5:$AB$79)/SUMIF(Cultures!$AB$5:$AB$79,"&gt;=0",Cultures!$D$5:$D$79),"–")</f>
        <v>1.0</v>
      </c>
      <c r="L24" s="11">
        <f>COUNTIF(Cultures!$AB$5:$AB$79,0)</f>
        <v>0</v>
      </c>
      <c r="M24" s="11">
        <f>COUNTIF(Cultures!$AB$5:$AB$79,1)</f>
        <v>72</v>
      </c>
      <c r="N24" s="11">
        <f>COUNTIF(Cultures!$AB$5:$AB$79,2)</f>
        <v>0</v>
      </c>
      <c r="O24" s="11">
        <f>COUNTIF(Cultures!$AB$5:$AB$79,3)</f>
        <v>0</v>
      </c>
      <c r="P24" s="11">
        <f>COUNTIF(Cultures!$AB$5:$AB$79,"–")</f>
        <v>3</v>
      </c>
      <c r="Q24" s="12">
        <f>SUMIF(Cultures!$AB$5:$AB$79,0,Cultures!$D$5:$D$79)</f>
        <v>0</v>
      </c>
      <c r="R24" s="12">
        <f>SUMIF(Cultures!$AB$5:$AB$79,"&lt;=1",Cultures!$D$5:$D$79)</f>
        <v>16847.09</v>
      </c>
    </row>
    <row r="25" spans="1:18" x14ac:dyDescent="0.25">
      <c r="A25" s="27" t="s">
        <v>67</v>
      </c>
      <c r="B25" s="15" t="s">
        <v>35</v>
      </c>
      <c r="C25" s="5" t="s">
        <v>365</v>
      </c>
      <c r="D25" s="5" t="s">
        <v>366</v>
      </c>
      <c r="E25" s="5" t="s">
        <v>355</v>
      </c>
      <c r="F25" s="5" t="s">
        <v>367</v>
      </c>
      <c r="G25" s="5" t="s">
        <v>368</v>
      </c>
      <c r="H25" s="5" t="s">
        <v>369</v>
      </c>
      <c r="I25" s="8" t="s">
        <v>370</v>
      </c>
      <c r="J25" s="13">
        <f>IFERROR(AVERAGE(Cultures!$AC$5:$AC$79),"–")</f>
        <v>1.2083333333333333</v>
      </c>
      <c r="K25" s="13">
        <f>IFERROR(SUMPRODUCT(Cultures!$D$5:$D$79,Cultures!$AC$5:$AC$79)/SUMIF(Cultures!$AC$5:$AC$79,"&gt;=0",Cultures!$D$5:$D$79),"–")</f>
        <v>1.1045693944770283</v>
      </c>
      <c r="L25" s="11">
        <f>COUNTIF(Cultures!$AC$5:$AC$79,0)</f>
        <v>0</v>
      </c>
      <c r="M25" s="11">
        <f>COUNTIF(Cultures!$AC$5:$AC$79,1)</f>
        <v>57</v>
      </c>
      <c r="N25" s="11">
        <f>COUNTIF(Cultures!$AC$5:$AC$79,2)</f>
        <v>15</v>
      </c>
      <c r="O25" s="11">
        <f>COUNTIF(Cultures!$AC$5:$AC$79,3)</f>
        <v>0</v>
      </c>
      <c r="P25" s="11">
        <f>COUNTIF(Cultures!$AC$5:$AC$79,"–")</f>
        <v>3</v>
      </c>
      <c r="Q25" s="12">
        <f>SUMIF(Cultures!$AC$5:$AC$79,0,Cultures!$D$5:$D$79)</f>
        <v>0</v>
      </c>
      <c r="R25" s="12">
        <f>SUMIF(Cultures!$AC$5:$AC$79,"&lt;=1",Cultures!$D$5:$D$79)</f>
        <v>15085.4</v>
      </c>
    </row>
    <row r="26" spans="1:18" x14ac:dyDescent="0.25">
      <c r="A26" s="27" t="s">
        <v>67</v>
      </c>
      <c r="B26" s="15" t="s">
        <v>36</v>
      </c>
      <c r="C26" s="5" t="s">
        <v>371</v>
      </c>
      <c r="D26" s="5" t="s">
        <v>313</v>
      </c>
      <c r="E26" s="5" t="s">
        <v>355</v>
      </c>
      <c r="F26" s="5" t="s">
        <v>298</v>
      </c>
      <c r="G26" s="5" t="s">
        <v>372</v>
      </c>
      <c r="H26" s="5" t="s">
        <v>373</v>
      </c>
      <c r="I26" s="8" t="s">
        <v>370</v>
      </c>
      <c r="J26" s="13">
        <f>IFERROR(AVERAGE(Cultures!$AD$5:$AD$79),"–")</f>
        <v>1.0</v>
      </c>
      <c r="K26" s="13">
        <f>IFERROR(SUMPRODUCT(Cultures!$D$5:$D$79,Cultures!$AD$5:$AD$79)/SUMIF(Cultures!$AD$5:$AD$79,"&gt;=0",Cultures!$D$5:$D$79),"–")</f>
        <v>1.0</v>
      </c>
      <c r="L26" s="11">
        <f>COUNTIF(Cultures!$AD$5:$AD$79,0)</f>
        <v>0</v>
      </c>
      <c r="M26" s="11">
        <f>COUNTIF(Cultures!$AD$5:$AD$79,1)</f>
        <v>72</v>
      </c>
      <c r="N26" s="11">
        <f>COUNTIF(Cultures!$AD$5:$AD$79,2)</f>
        <v>0</v>
      </c>
      <c r="O26" s="11">
        <f>COUNTIF(Cultures!$AD$5:$AD$79,3)</f>
        <v>0</v>
      </c>
      <c r="P26" s="11">
        <f>COUNTIF(Cultures!$AD$5:$AD$79,"–")</f>
        <v>3</v>
      </c>
      <c r="Q26" s="12">
        <f>SUMIF(Cultures!$AD$5:$AD$79,0,Cultures!$D$5:$D$79)</f>
        <v>0</v>
      </c>
      <c r="R26" s="12">
        <f>SUMIF(Cultures!$AD$5:$AD$79,"&lt;=1",Cultures!$D$5:$D$79)</f>
        <v>16847.09</v>
      </c>
    </row>
    <row r="27" spans="1:18" x14ac:dyDescent="0.25">
      <c r="A27" s="27" t="s">
        <v>67</v>
      </c>
      <c r="B27" s="15" t="s">
        <v>37</v>
      </c>
      <c r="C27" s="5" t="s">
        <v>374</v>
      </c>
      <c r="D27" s="5" t="s">
        <v>313</v>
      </c>
      <c r="E27" s="5" t="s">
        <v>355</v>
      </c>
      <c r="F27" s="5" t="s">
        <v>375</v>
      </c>
      <c r="G27" s="5" t="s">
        <v>376</v>
      </c>
      <c r="H27" s="5" t="s">
        <v>377</v>
      </c>
      <c r="J27" s="13">
        <f>IFERROR(AVERAGE(Cultures!$AE$5:$AE$79),"–")</f>
        <v>1.8888888888888888</v>
      </c>
      <c r="K27" s="13">
        <f>IFERROR(SUMPRODUCT(Cultures!$D$5:$D$79,Cultures!$AE$5:$AE$79)/SUMIF(Cultures!$AE$5:$AE$79,"&gt;=0",Cultures!$D$5:$D$79),"–")</f>
        <v>1.9469178356618266</v>
      </c>
      <c r="L27" s="11">
        <f>COUNTIF(Cultures!$AE$5:$AE$79,0)</f>
        <v>0</v>
      </c>
      <c r="M27" s="11">
        <f>COUNTIF(Cultures!$AE$5:$AE$79,1)</f>
        <v>8</v>
      </c>
      <c r="N27" s="11">
        <f>COUNTIF(Cultures!$AE$5:$AE$79,2)</f>
        <v>64</v>
      </c>
      <c r="O27" s="11">
        <f>COUNTIF(Cultures!$AE$5:$AE$79,3)</f>
        <v>0</v>
      </c>
      <c r="P27" s="11">
        <f>COUNTIF(Cultures!$AE$5:$AE$79,"–")</f>
        <v>3</v>
      </c>
      <c r="Q27" s="12">
        <f>SUMIF(Cultures!$AE$5:$AE$79,0,Cultures!$D$5:$D$79)</f>
        <v>0</v>
      </c>
      <c r="R27" s="12">
        <f>SUMIF(Cultures!$AE$5:$AE$79,"&lt;=1",Cultures!$D$5:$D$79)</f>
        <v>894.28</v>
      </c>
    </row>
    <row r="28" spans="1:18" x14ac:dyDescent="0.25">
      <c r="A28" s="27" t="s">
        <v>67</v>
      </c>
      <c r="B28" s="15" t="s">
        <v>38</v>
      </c>
      <c r="C28" s="5" t="s">
        <v>378</v>
      </c>
      <c r="D28" s="5" t="s">
        <v>316</v>
      </c>
      <c r="E28" s="5" t="s">
        <v>355</v>
      </c>
      <c r="F28" s="5" t="s">
        <v>379</v>
      </c>
      <c r="G28" s="5" t="s">
        <v>380</v>
      </c>
      <c r="H28" s="5" t="s">
        <v>381</v>
      </c>
      <c r="J28" s="13">
        <f>IFERROR(AVERAGE(Cultures!$AF$5:$AF$79),"–")</f>
        <v>1.9583333333333333</v>
      </c>
      <c r="K28" s="13">
        <f>IFERROR(SUMPRODUCT(Cultures!$D$5:$D$79,Cultures!$AF$5:$AF$79)/SUMIF(Cultures!$AF$5:$AF$79,"&gt;=0",Cultures!$D$5:$D$79),"–")</f>
        <v>1.9755607644999817</v>
      </c>
      <c r="L28" s="11">
        <f>COUNTIF(Cultures!$AF$5:$AF$79,0)</f>
        <v>0</v>
      </c>
      <c r="M28" s="11">
        <f>COUNTIF(Cultures!$AF$5:$AF$79,1)</f>
        <v>3</v>
      </c>
      <c r="N28" s="11">
        <f>COUNTIF(Cultures!$AF$5:$AF$79,2)</f>
        <v>69</v>
      </c>
      <c r="O28" s="11">
        <f>COUNTIF(Cultures!$AF$5:$AF$79,3)</f>
        <v>0</v>
      </c>
      <c r="P28" s="11">
        <f>COUNTIF(Cultures!$AF$5:$AF$79,"–")</f>
        <v>3</v>
      </c>
      <c r="Q28" s="12">
        <f>SUMIF(Cultures!$AF$5:$AF$79,0,Cultures!$D$5:$D$79)</f>
        <v>0</v>
      </c>
      <c r="R28" s="12">
        <f>SUMIF(Cultures!$AF$5:$AF$79,"&lt;=1",Cultures!$D$5:$D$79)</f>
        <v>411.72999999999996</v>
      </c>
    </row>
    <row r="29" spans="1:18" x14ac:dyDescent="0.25">
      <c r="A29" s="27" t="s">
        <v>67</v>
      </c>
      <c r="B29" s="15" t="s">
        <v>39</v>
      </c>
      <c r="C29" s="5" t="s">
        <v>382</v>
      </c>
      <c r="D29" s="5" t="s">
        <v>316</v>
      </c>
      <c r="E29" s="5" t="s">
        <v>355</v>
      </c>
      <c r="F29" s="5" t="s">
        <v>298</v>
      </c>
      <c r="G29" s="5" t="s">
        <v>383</v>
      </c>
      <c r="H29" s="5" t="s">
        <v>384</v>
      </c>
      <c r="I29" s="8" t="s">
        <v>325</v>
      </c>
      <c r="J29" s="13">
        <f>IFERROR(AVERAGE(Cultures!$AG$5:$AG$79),"–")</f>
        <v>1.0</v>
      </c>
      <c r="K29" s="13">
        <f>IFERROR(SUMPRODUCT(Cultures!$D$5:$D$79,Cultures!$AG$5:$AG$79)/SUMIF(Cultures!$AG$5:$AG$79,"&gt;=0",Cultures!$D$5:$D$79),"–")</f>
        <v>1.0</v>
      </c>
      <c r="L29" s="11">
        <f>COUNTIF(Cultures!$AG$5:$AG$79,0)</f>
        <v>0</v>
      </c>
      <c r="M29" s="11">
        <f>COUNTIF(Cultures!$AG$5:$AG$79,1)</f>
        <v>72</v>
      </c>
      <c r="N29" s="11">
        <f>COUNTIF(Cultures!$AG$5:$AG$79,2)</f>
        <v>0</v>
      </c>
      <c r="O29" s="11">
        <f>COUNTIF(Cultures!$AG$5:$AG$79,3)</f>
        <v>0</v>
      </c>
      <c r="P29" s="11">
        <f>COUNTIF(Cultures!$AG$5:$AG$79,"–")</f>
        <v>3</v>
      </c>
      <c r="Q29" s="12">
        <f>SUMIF(Cultures!$AG$5:$AG$79,0,Cultures!$D$5:$D$79)</f>
        <v>0</v>
      </c>
      <c r="R29" s="12">
        <f>SUMIF(Cultures!$AG$5:$AG$79,"&lt;=1",Cultures!$D$5:$D$79)</f>
        <v>16847.09</v>
      </c>
    </row>
    <row r="30" spans="1:18" x14ac:dyDescent="0.25">
      <c r="A30" s="27" t="s">
        <v>67</v>
      </c>
      <c r="B30" s="15" t="s">
        <v>40</v>
      </c>
      <c r="C30" s="5" t="s">
        <v>385</v>
      </c>
      <c r="D30" s="5" t="s">
        <v>313</v>
      </c>
      <c r="E30" s="5" t="s">
        <v>355</v>
      </c>
      <c r="F30" s="5" t="s">
        <v>386</v>
      </c>
      <c r="G30" s="5" t="s">
        <v>387</v>
      </c>
      <c r="H30" s="5" t="s">
        <v>388</v>
      </c>
      <c r="J30" s="13">
        <f>IFERROR(AVERAGE(Cultures!$AH$5:$AH$79),"–")</f>
        <v>1.9305555555555556</v>
      </c>
      <c r="K30" s="13">
        <f>IFERROR(SUMPRODUCT(Cultures!$D$5:$D$79,Cultures!$AH$5:$AH$79)/SUMIF(Cultures!$AH$5:$AH$79,"&gt;=0",Cultures!$D$5:$D$79),"–")</f>
        <v>1.9676858139892408</v>
      </c>
      <c r="L30" s="11">
        <f>COUNTIF(Cultures!$AH$5:$AH$79,0)</f>
        <v>0</v>
      </c>
      <c r="M30" s="11">
        <f>COUNTIF(Cultures!$AH$5:$AH$79,1)</f>
        <v>5</v>
      </c>
      <c r="N30" s="11">
        <f>COUNTIF(Cultures!$AH$5:$AH$79,2)</f>
        <v>67</v>
      </c>
      <c r="O30" s="11">
        <f>COUNTIF(Cultures!$AH$5:$AH$79,3)</f>
        <v>0</v>
      </c>
      <c r="P30" s="11">
        <f>COUNTIF(Cultures!$AH$5:$AH$79,"–")</f>
        <v>3</v>
      </c>
      <c r="Q30" s="12">
        <f>SUMIF(Cultures!$AH$5:$AH$79,0,Cultures!$D$5:$D$79)</f>
        <v>0</v>
      </c>
      <c r="R30" s="12">
        <f>SUMIF(Cultures!$AH$5:$AH$79,"&lt;=1",Cultures!$D$5:$D$79)</f>
        <v>544.4</v>
      </c>
    </row>
    <row r="31" spans="1:18" x14ac:dyDescent="0.25">
      <c r="A31" s="27" t="s">
        <v>67</v>
      </c>
      <c r="B31" s="15" t="s">
        <v>41</v>
      </c>
      <c r="C31" s="5" t="s">
        <v>389</v>
      </c>
      <c r="D31" s="5" t="s">
        <v>316</v>
      </c>
      <c r="E31" s="5" t="s">
        <v>355</v>
      </c>
      <c r="F31" s="5" t="s">
        <v>390</v>
      </c>
      <c r="G31" s="5" t="s">
        <v>391</v>
      </c>
      <c r="H31" s="5" t="s">
        <v>392</v>
      </c>
      <c r="I31" s="8" t="s">
        <v>301</v>
      </c>
      <c r="J31" s="13">
        <f>IFERROR(AVERAGE(Cultures!$AI$5:$AI$79),"–")</f>
        <v>0.5694444444444444</v>
      </c>
      <c r="K31" s="13">
        <f>IFERROR(SUMPRODUCT(Cultures!$D$5:$D$79,Cultures!$AI$5:$AI$79)/SUMIF(Cultures!$AI$5:$AI$79,"&gt;=0",Cultures!$D$5:$D$79),"–")</f>
        <v>0.9170266200275536</v>
      </c>
      <c r="L31" s="11">
        <f>COUNTIF(Cultures!$AI$5:$AI$79,0)</f>
        <v>31</v>
      </c>
      <c r="M31" s="11">
        <f>COUNTIF(Cultures!$AI$5:$AI$79,1)</f>
        <v>41</v>
      </c>
      <c r="N31" s="11">
        <f>COUNTIF(Cultures!$AI$5:$AI$79,2)</f>
        <v>0</v>
      </c>
      <c r="O31" s="11">
        <f>COUNTIF(Cultures!$AI$5:$AI$79,3)</f>
        <v>0</v>
      </c>
      <c r="P31" s="11">
        <f>COUNTIF(Cultures!$AI$5:$AI$79,"–")</f>
        <v>3</v>
      </c>
      <c r="Q31" s="12">
        <f>SUMIF(Cultures!$AI$5:$AI$79,0,Cultures!$D$5:$D$79)</f>
        <v>1397.86</v>
      </c>
      <c r="R31" s="12">
        <f>SUMIF(Cultures!$AI$5:$AI$79,"&lt;=1",Cultures!$D$5:$D$79)</f>
        <v>16847.09</v>
      </c>
    </row>
    <row r="32" spans="1:18" x14ac:dyDescent="0.25">
      <c r="A32" s="27" t="s">
        <v>67</v>
      </c>
      <c r="B32" s="15" t="s">
        <v>42</v>
      </c>
      <c r="C32" s="5" t="s">
        <v>393</v>
      </c>
      <c r="D32" s="5" t="s">
        <v>313</v>
      </c>
      <c r="E32" s="5" t="s">
        <v>355</v>
      </c>
      <c r="F32" s="5" t="s">
        <v>394</v>
      </c>
      <c r="G32" s="5" t="s">
        <v>395</v>
      </c>
      <c r="H32" s="5" t="s">
        <v>396</v>
      </c>
      <c r="I32" s="8" t="s">
        <v>397</v>
      </c>
      <c r="J32" s="13">
        <f>IFERROR(AVERAGE(Cultures!$AJ$5:$AJ$79),"–")</f>
        <v>1.0</v>
      </c>
      <c r="K32" s="13">
        <f>IFERROR(SUMPRODUCT(Cultures!$D$5:$D$79,Cultures!$AJ$5:$AJ$79)/SUMIF(Cultures!$AJ$5:$AJ$79,"&gt;=0",Cultures!$D$5:$D$79),"–")</f>
        <v>1.0</v>
      </c>
      <c r="L32" s="11">
        <f>COUNTIF(Cultures!$AJ$5:$AJ$79,0)</f>
        <v>0</v>
      </c>
      <c r="M32" s="11">
        <f>COUNTIF(Cultures!$AJ$5:$AJ$79,1)</f>
        <v>72</v>
      </c>
      <c r="N32" s="11">
        <f>COUNTIF(Cultures!$AJ$5:$AJ$79,2)</f>
        <v>0</v>
      </c>
      <c r="O32" s="11">
        <f>COUNTIF(Cultures!$AJ$5:$AJ$79,3)</f>
        <v>0</v>
      </c>
      <c r="P32" s="11">
        <f>COUNTIF(Cultures!$AJ$5:$AJ$79,"–")</f>
        <v>3</v>
      </c>
      <c r="Q32" s="12">
        <f>SUMIF(Cultures!$AJ$5:$AJ$79,0,Cultures!$D$5:$D$79)</f>
        <v>0</v>
      </c>
      <c r="R32" s="12">
        <f>SUMIF(Cultures!$AJ$5:$AJ$79,"&lt;=1",Cultures!$D$5:$D$79)</f>
        <v>16847.09</v>
      </c>
    </row>
    <row r="33" spans="1:18" x14ac:dyDescent="0.25">
      <c r="A33" s="27" t="s">
        <v>67</v>
      </c>
      <c r="B33" s="15" t="s">
        <v>43</v>
      </c>
      <c r="C33" s="5" t="s">
        <v>398</v>
      </c>
      <c r="D33" s="5" t="s">
        <v>313</v>
      </c>
      <c r="E33" s="5" t="s">
        <v>355</v>
      </c>
      <c r="F33" s="5" t="s">
        <v>298</v>
      </c>
      <c r="G33" s="5" t="s">
        <v>399</v>
      </c>
      <c r="H33" s="5" t="s">
        <v>400</v>
      </c>
      <c r="I33" s="8" t="s">
        <v>325</v>
      </c>
      <c r="J33" s="13">
        <f>IFERROR(AVERAGE(Cultures!$AK$5:$AK$79),"–")</f>
        <v>1.0</v>
      </c>
      <c r="K33" s="13">
        <f>IFERROR(SUMPRODUCT(Cultures!$D$5:$D$79,Cultures!$AK$5:$AK$79)/SUMIF(Cultures!$AK$5:$AK$79,"&gt;=0",Cultures!$D$5:$D$79),"–")</f>
        <v>1.0</v>
      </c>
      <c r="L33" s="11">
        <f>COUNTIF(Cultures!$AK$5:$AK$79,0)</f>
        <v>0</v>
      </c>
      <c r="M33" s="11">
        <f>COUNTIF(Cultures!$AK$5:$AK$79,1)</f>
        <v>72</v>
      </c>
      <c r="N33" s="11">
        <f>COUNTIF(Cultures!$AK$5:$AK$79,2)</f>
        <v>0</v>
      </c>
      <c r="O33" s="11">
        <f>COUNTIF(Cultures!$AK$5:$AK$79,3)</f>
        <v>0</v>
      </c>
      <c r="P33" s="11">
        <f>COUNTIF(Cultures!$AK$5:$AK$79,"–")</f>
        <v>3</v>
      </c>
      <c r="Q33" s="12">
        <f>SUMIF(Cultures!$AK$5:$AK$79,0,Cultures!$D$5:$D$79)</f>
        <v>0</v>
      </c>
      <c r="R33" s="12">
        <f>SUMIF(Cultures!$AK$5:$AK$79,"&lt;=1",Cultures!$D$5:$D$79)</f>
        <v>16847.09</v>
      </c>
    </row>
    <row r="34" spans="1:18" x14ac:dyDescent="0.25">
      <c r="A34" s="27" t="s">
        <v>67</v>
      </c>
      <c r="B34" s="15" t="s">
        <v>44</v>
      </c>
      <c r="C34" s="5" t="s">
        <v>401</v>
      </c>
      <c r="D34" s="5" t="s">
        <v>402</v>
      </c>
      <c r="E34" s="5" t="s">
        <v>355</v>
      </c>
      <c r="F34" s="5" t="s">
        <v>403</v>
      </c>
      <c r="G34" s="5" t="s">
        <v>404</v>
      </c>
      <c r="H34" s="5" t="s">
        <v>316</v>
      </c>
      <c r="J34" s="13">
        <f>IFERROR(AVERAGE(Cultures!$AL$5:$AL$79),"–")</f>
        <v>3.0</v>
      </c>
      <c r="K34" s="13">
        <f>IFERROR(SUMPRODUCT(Cultures!$D$5:$D$79,Cultures!$AL$5:$AL$79)/SUMIF(Cultures!$AL$5:$AL$79,"&gt;=0",Cultures!$D$5:$D$79),"–")</f>
        <v>3.0</v>
      </c>
      <c r="L34" s="11">
        <f>COUNTIF(Cultures!$AL$5:$AL$79,0)</f>
        <v>0</v>
      </c>
      <c r="M34" s="11">
        <f>COUNTIF(Cultures!$AL$5:$AL$79,1)</f>
        <v>0</v>
      </c>
      <c r="N34" s="11">
        <f>COUNTIF(Cultures!$AL$5:$AL$79,2)</f>
        <v>0</v>
      </c>
      <c r="O34" s="11">
        <f>COUNTIF(Cultures!$AL$5:$AL$79,3)</f>
        <v>72</v>
      </c>
      <c r="P34" s="11">
        <f>COUNTIF(Cultures!$AL$5:$AL$79,"–")</f>
        <v>3</v>
      </c>
      <c r="Q34" s="12">
        <f>SUMIF(Cultures!$AL$5:$AL$79,0,Cultures!$D$5:$D$79)</f>
        <v>0</v>
      </c>
      <c r="R34" s="12">
        <f>SUMIF(Cultures!$AL$5:$AL$79,"&lt;=1",Cultures!$D$5:$D$79)</f>
        <v>0</v>
      </c>
    </row>
    <row r="35" spans="1:18" x14ac:dyDescent="0.25">
      <c r="A35" s="27" t="s">
        <v>67</v>
      </c>
      <c r="B35" s="15" t="s">
        <v>45</v>
      </c>
      <c r="C35" s="5" t="s">
        <v>405</v>
      </c>
      <c r="D35" s="5" t="s">
        <v>316</v>
      </c>
      <c r="E35" s="5" t="s">
        <v>288</v>
      </c>
      <c r="F35" s="5" t="s">
        <v>298</v>
      </c>
      <c r="G35" s="5" t="s">
        <v>406</v>
      </c>
      <c r="H35" s="5" t="s">
        <v>407</v>
      </c>
      <c r="I35" s="8" t="s">
        <v>325</v>
      </c>
      <c r="J35" s="13">
        <f>IFERROR(AVERAGE(Cultures!$AM$5:$AM$79),"–")</f>
        <v>0.0</v>
      </c>
      <c r="K35" s="13">
        <f>IFERROR(SUMPRODUCT(Cultures!$D$5:$D$79,Cultures!$AM$5:$AM$79)/SUMIF(Cultures!$AM$5:$AM$79,"&gt;=0",Cultures!$D$5:$D$79),"–")</f>
        <v>0.0</v>
      </c>
      <c r="L35" s="11">
        <f>COUNTIF(Cultures!$AM$5:$AM$79,0)</f>
        <v>28</v>
      </c>
      <c r="M35" s="11">
        <f>COUNTIF(Cultures!$AM$5:$AM$79,1)</f>
        <v>0</v>
      </c>
      <c r="N35" s="11">
        <f>COUNTIF(Cultures!$AM$5:$AM$79,2)</f>
        <v>0</v>
      </c>
      <c r="O35" s="11">
        <f>COUNTIF(Cultures!$AM$5:$AM$79,3)</f>
        <v>0</v>
      </c>
      <c r="P35" s="11">
        <f>COUNTIF(Cultures!$AM$5:$AM$79,"–")</f>
        <v>47</v>
      </c>
      <c r="Q35" s="12">
        <f>SUMIF(Cultures!$AM$5:$AM$79,0,Cultures!$D$5:$D$79)</f>
        <v>12812.93</v>
      </c>
      <c r="R35" s="12">
        <f>SUMIF(Cultures!$AM$5:$AM$79,"&lt;=1",Cultures!$D$5:$D$79)</f>
        <v>12812.93</v>
      </c>
    </row>
    <row r="36" spans="1:18" x14ac:dyDescent="0.25">
      <c r="A36" s="28" t="s">
        <v>68</v>
      </c>
      <c r="B36" s="15" t="s">
        <v>46</v>
      </c>
      <c r="C36" s="5" t="s">
        <v>408</v>
      </c>
      <c r="D36" s="5" t="s">
        <v>316</v>
      </c>
      <c r="E36" s="5" t="s">
        <v>409</v>
      </c>
      <c r="F36" s="5" t="s">
        <v>410</v>
      </c>
      <c r="G36" s="5" t="s">
        <v>411</v>
      </c>
      <c r="H36" s="5" t="s">
        <v>412</v>
      </c>
      <c r="I36" s="8" t="s">
        <v>413</v>
      </c>
      <c r="J36" s="13">
        <f>IFERROR(AVERAGE(Cultures!$AN$5:$AN$79),"–")</f>
        <v>2.0</v>
      </c>
      <c r="K36" s="13">
        <f>IFERROR(SUMPRODUCT(Cultures!$D$5:$D$79,Cultures!$AN$5:$AN$79)/SUMIF(Cultures!$AN$5:$AN$79,"&gt;=0",Cultures!$D$5:$D$79),"–")</f>
        <v>2.0</v>
      </c>
      <c r="L36" s="11">
        <f>COUNTIF(Cultures!$AN$5:$AN$79,0)</f>
        <v>0</v>
      </c>
      <c r="M36" s="11">
        <f>COUNTIF(Cultures!$AN$5:$AN$79,1)</f>
        <v>0</v>
      </c>
      <c r="N36" s="11">
        <f>COUNTIF(Cultures!$AN$5:$AN$79,2)</f>
        <v>75</v>
      </c>
      <c r="O36" s="11">
        <f>COUNTIF(Cultures!$AN$5:$AN$79,3)</f>
        <v>0</v>
      </c>
      <c r="P36" s="11">
        <f>COUNTIF(Cultures!$AN$5:$AN$79,"–")</f>
        <v>0</v>
      </c>
      <c r="Q36" s="12">
        <f>SUMIF(Cultures!$AN$5:$AN$79,0,Cultures!$D$5:$D$79)</f>
        <v>0</v>
      </c>
      <c r="R36" s="12">
        <f>SUMIF(Cultures!$AN$5:$AN$79,"&lt;=1",Cultures!$D$5:$D$79)</f>
        <v>0</v>
      </c>
    </row>
    <row r="37" spans="1:18" x14ac:dyDescent="0.25">
      <c r="A37" s="28" t="s">
        <v>68</v>
      </c>
      <c r="B37" s="15" t="s">
        <v>47</v>
      </c>
      <c r="C37" s="5" t="s">
        <v>414</v>
      </c>
      <c r="D37" s="5" t="s">
        <v>316</v>
      </c>
      <c r="E37" s="5" t="s">
        <v>409</v>
      </c>
      <c r="F37" s="5" t="s">
        <v>415</v>
      </c>
      <c r="G37" s="5" t="s">
        <v>416</v>
      </c>
      <c r="H37" s="5" t="s">
        <v>316</v>
      </c>
      <c r="J37" s="13">
        <f>IFERROR(AVERAGE(Cultures!$AO$5:$AO$79),"–")</f>
        <v>2.0</v>
      </c>
      <c r="K37" s="13">
        <f>IFERROR(SUMPRODUCT(Cultures!$D$5:$D$79,Cultures!$AO$5:$AO$79)/SUMIF(Cultures!$AO$5:$AO$79,"&gt;=0",Cultures!$D$5:$D$79),"–")</f>
        <v>2.0</v>
      </c>
      <c r="L37" s="11">
        <f>COUNTIF(Cultures!$AO$5:$AO$79,0)</f>
        <v>0</v>
      </c>
      <c r="M37" s="11">
        <f>COUNTIF(Cultures!$AO$5:$AO$79,1)</f>
        <v>0</v>
      </c>
      <c r="N37" s="11">
        <f>COUNTIF(Cultures!$AO$5:$AO$79,2)</f>
        <v>74</v>
      </c>
      <c r="O37" s="11">
        <f>COUNTIF(Cultures!$AO$5:$AO$79,3)</f>
        <v>0</v>
      </c>
      <c r="P37" s="11">
        <f>COUNTIF(Cultures!$AO$5:$AO$79,"–")</f>
        <v>1</v>
      </c>
      <c r="Q37" s="12">
        <f>SUMIF(Cultures!$AO$5:$AO$79,0,Cultures!$D$5:$D$79)</f>
        <v>0</v>
      </c>
      <c r="R37" s="12">
        <f>SUMIF(Cultures!$AO$5:$AO$79,"&lt;=1",Cultures!$D$5:$D$79)</f>
        <v>0</v>
      </c>
    </row>
    <row r="38" spans="1:18" x14ac:dyDescent="0.25">
      <c r="A38" s="28" t="s">
        <v>68</v>
      </c>
      <c r="B38" s="15" t="s">
        <v>48</v>
      </c>
      <c r="C38" s="5" t="s">
        <v>417</v>
      </c>
      <c r="D38" s="5" t="s">
        <v>316</v>
      </c>
      <c r="E38" s="5" t="s">
        <v>418</v>
      </c>
      <c r="F38" s="5" t="s">
        <v>419</v>
      </c>
      <c r="G38" s="5" t="s">
        <v>420</v>
      </c>
      <c r="H38" s="5" t="s">
        <v>421</v>
      </c>
      <c r="I38" s="8" t="s">
        <v>397</v>
      </c>
      <c r="J38" s="13">
        <f>IFERROR(AVERAGE(Cultures!$AP$5:$AP$79),"–")</f>
        <v>1.0</v>
      </c>
      <c r="K38" s="13">
        <f>IFERROR(SUMPRODUCT(Cultures!$D$5:$D$79,Cultures!$AP$5:$AP$79)/SUMIF(Cultures!$AP$5:$AP$79,"&gt;=0",Cultures!$D$5:$D$79),"–")</f>
        <v>1.0</v>
      </c>
      <c r="L38" s="11">
        <f>COUNTIF(Cultures!$AP$5:$AP$79,0)</f>
        <v>0</v>
      </c>
      <c r="M38" s="11">
        <f>COUNTIF(Cultures!$AP$5:$AP$79,1)</f>
        <v>15</v>
      </c>
      <c r="N38" s="11">
        <f>COUNTIF(Cultures!$AP$5:$AP$79,2)</f>
        <v>0</v>
      </c>
      <c r="O38" s="11">
        <f>COUNTIF(Cultures!$AP$5:$AP$79,3)</f>
        <v>0</v>
      </c>
      <c r="P38" s="11">
        <f>COUNTIF(Cultures!$AP$5:$AP$79,"–")</f>
        <v>60</v>
      </c>
      <c r="Q38" s="12">
        <f>SUMIF(Cultures!$AP$5:$AP$79,0,Cultures!$D$5:$D$79)</f>
        <v>0</v>
      </c>
      <c r="R38" s="12">
        <f>SUMIF(Cultures!$AP$5:$AP$79,"&lt;=1",Cultures!$D$5:$D$79)</f>
        <v>1639.31</v>
      </c>
    </row>
    <row r="39" spans="1:18" x14ac:dyDescent="0.25">
      <c r="A39" s="28" t="s">
        <v>68</v>
      </c>
      <c r="B39" s="15" t="s">
        <v>49</v>
      </c>
      <c r="C39" s="5" t="s">
        <v>422</v>
      </c>
      <c r="D39" s="5" t="s">
        <v>423</v>
      </c>
      <c r="E39" s="5" t="s">
        <v>282</v>
      </c>
      <c r="F39" s="5" t="s">
        <v>424</v>
      </c>
      <c r="G39" s="5" t="s">
        <v>425</v>
      </c>
      <c r="H39" s="5" t="s">
        <v>316</v>
      </c>
      <c r="J39" s="13">
        <f>IFERROR(AVERAGE(Cultures!$AQ$5:$AQ$79),"–")</f>
        <v>1.972972972972973</v>
      </c>
      <c r="K39" s="13">
        <f>IFERROR(SUMPRODUCT(Cultures!$D$5:$D$79,Cultures!$AQ$5:$AQ$79)/SUMIF(Cultures!$AQ$5:$AQ$79,"&gt;=0",Cultures!$D$5:$D$79),"–")</f>
        <v>1.47072944854011</v>
      </c>
      <c r="L39" s="11">
        <f>COUNTIF(Cultures!$AQ$5:$AQ$79,0)</f>
        <v>1</v>
      </c>
      <c r="M39" s="11">
        <f>COUNTIF(Cultures!$AQ$5:$AQ$79,1)</f>
        <v>1</v>
      </c>
      <c r="N39" s="11">
        <f>COUNTIF(Cultures!$AQ$5:$AQ$79,2)</f>
        <v>71</v>
      </c>
      <c r="O39" s="11">
        <f>COUNTIF(Cultures!$AQ$5:$AQ$79,3)</f>
        <v>1</v>
      </c>
      <c r="P39" s="11">
        <f>COUNTIF(Cultures!$AQ$5:$AQ$79,"–")</f>
        <v>1</v>
      </c>
      <c r="Q39" s="12">
        <f>SUMIF(Cultures!$AQ$5:$AQ$79,0,Cultures!$D$5:$D$79)</f>
        <v>6109.43</v>
      </c>
      <c r="R39" s="12">
        <f>SUMIF(Cultures!$AQ$5:$AQ$79,"&lt;=1",Cultures!$D$5:$D$79)</f>
        <v>6109.43</v>
      </c>
    </row>
    <row r="40" spans="1:18" x14ac:dyDescent="0.25">
      <c r="A40" s="28" t="s">
        <v>68</v>
      </c>
      <c r="B40" s="15" t="s">
        <v>50</v>
      </c>
      <c r="C40" s="5" t="s">
        <v>426</v>
      </c>
      <c r="D40" s="5" t="s">
        <v>427</v>
      </c>
      <c r="E40" s="5" t="s">
        <v>282</v>
      </c>
      <c r="F40" s="5" t="s">
        <v>428</v>
      </c>
      <c r="G40" s="5" t="s">
        <v>429</v>
      </c>
      <c r="H40" s="5" t="s">
        <v>316</v>
      </c>
      <c r="J40" s="13">
        <f>IFERROR(AVERAGE(Cultures!$AR$5:$AR$79),"–")</f>
        <v>2.0405405405405403</v>
      </c>
      <c r="K40" s="13">
        <f>IFERROR(SUMPRODUCT(Cultures!$D$5:$D$79,Cultures!$AR$5:$AR$79)/SUMIF(Cultures!$AR$5:$AR$79,"&gt;=0",Cultures!$D$5:$D$79),"–")</f>
        <v>1.6784107521523297</v>
      </c>
      <c r="L40" s="11">
        <f>COUNTIF(Cultures!$AR$5:$AR$79,0)</f>
        <v>0</v>
      </c>
      <c r="M40" s="11">
        <f>COUNTIF(Cultures!$AR$5:$AR$79,1)</f>
        <v>7</v>
      </c>
      <c r="N40" s="11">
        <f>COUNTIF(Cultures!$AR$5:$AR$79,2)</f>
        <v>57</v>
      </c>
      <c r="O40" s="11">
        <f>COUNTIF(Cultures!$AR$5:$AR$79,3)</f>
        <v>10</v>
      </c>
      <c r="P40" s="11">
        <f>COUNTIF(Cultures!$AR$5:$AR$79,"–")</f>
        <v>1</v>
      </c>
      <c r="Q40" s="12">
        <f>SUMIF(Cultures!$AR$5:$AR$79,0,Cultures!$D$5:$D$79)</f>
        <v>0</v>
      </c>
      <c r="R40" s="12">
        <f>SUMIF(Cultures!$AR$5:$AR$79,"&lt;=1",Cultures!$D$5:$D$79)</f>
        <v>8030.2300000000005</v>
      </c>
    </row>
    <row r="41" spans="1:18" x14ac:dyDescent="0.25">
      <c r="A41" s="28" t="s">
        <v>68</v>
      </c>
      <c r="B41" s="15" t="s">
        <v>51</v>
      </c>
      <c r="C41" s="5" t="s">
        <v>430</v>
      </c>
      <c r="D41" s="5" t="s">
        <v>431</v>
      </c>
      <c r="E41" s="5" t="s">
        <v>282</v>
      </c>
      <c r="F41" s="5" t="s">
        <v>298</v>
      </c>
      <c r="G41" s="5" t="s">
        <v>432</v>
      </c>
      <c r="H41" s="5" t="s">
        <v>433</v>
      </c>
      <c r="I41" s="8" t="s">
        <v>397</v>
      </c>
      <c r="J41" s="13">
        <f>IFERROR(AVERAGE(Cultures!$AS$5:$AS$79),"–")</f>
        <v>0.5</v>
      </c>
      <c r="K41" s="13">
        <f>IFERROR(SUMPRODUCT(Cultures!$D$5:$D$79,Cultures!$AS$5:$AS$79)/SUMIF(Cultures!$AS$5:$AS$79,"&gt;=0",Cultures!$D$5:$D$79),"–")</f>
        <v>0.59643665503308</v>
      </c>
      <c r="L41" s="11">
        <f>COUNTIF(Cultures!$AS$5:$AS$79,0)</f>
        <v>37</v>
      </c>
      <c r="M41" s="11">
        <f>COUNTIF(Cultures!$AS$5:$AS$79,1)</f>
        <v>37</v>
      </c>
      <c r="N41" s="11">
        <f>COUNTIF(Cultures!$AS$5:$AS$79,2)</f>
        <v>0</v>
      </c>
      <c r="O41" s="11">
        <f>COUNTIF(Cultures!$AS$5:$AS$79,3)</f>
        <v>0</v>
      </c>
      <c r="P41" s="11">
        <f>COUNTIF(Cultures!$AS$5:$AS$79,"–")</f>
        <v>1</v>
      </c>
      <c r="Q41" s="12">
        <f>SUMIF(Cultures!$AS$5:$AS$79,0,Cultures!$D$5:$D$79)</f>
        <v>9264.41</v>
      </c>
      <c r="R41" s="12">
        <f>SUMIF(Cultures!$AS$5:$AS$79,"&lt;=1",Cultures!$D$5:$D$79)</f>
        <v>22956.52</v>
      </c>
    </row>
    <row r="42" spans="1:18" x14ac:dyDescent="0.25">
      <c r="A42" s="28" t="s">
        <v>68</v>
      </c>
      <c r="B42" s="15" t="s">
        <v>52</v>
      </c>
      <c r="C42" s="5" t="s">
        <v>434</v>
      </c>
      <c r="D42" s="5" t="s">
        <v>435</v>
      </c>
      <c r="E42" s="5" t="s">
        <v>436</v>
      </c>
      <c r="F42" s="5" t="s">
        <v>298</v>
      </c>
      <c r="G42" s="5" t="s">
        <v>437</v>
      </c>
      <c r="H42" s="5" t="s">
        <v>438</v>
      </c>
      <c r="I42" s="8" t="s">
        <v>439</v>
      </c>
      <c r="J42" s="13">
        <f>IFERROR(AVERAGE(Cultures!$AT$5:$AT$79),"–")</f>
        <v>0.0</v>
      </c>
      <c r="K42" s="13">
        <f>IFERROR(SUMPRODUCT(Cultures!$D$5:$D$79,Cultures!$AT$5:$AT$79)/SUMIF(Cultures!$AT$5:$AT$79,"&gt;=0",Cultures!$D$5:$D$79),"–")</f>
        <v>0.0</v>
      </c>
      <c r="L42" s="11">
        <f>COUNTIF(Cultures!$AT$5:$AT$79,0)</f>
        <v>74</v>
      </c>
      <c r="M42" s="11">
        <f>COUNTIF(Cultures!$AT$5:$AT$79,1)</f>
        <v>0</v>
      </c>
      <c r="N42" s="11">
        <f>COUNTIF(Cultures!$AT$5:$AT$79,2)</f>
        <v>0</v>
      </c>
      <c r="O42" s="11">
        <f>COUNTIF(Cultures!$AT$5:$AT$79,3)</f>
        <v>0</v>
      </c>
      <c r="P42" s="11">
        <f>COUNTIF(Cultures!$AT$5:$AT$79,"–")</f>
        <v>1</v>
      </c>
      <c r="Q42" s="12">
        <f>SUMIF(Cultures!$AT$5:$AT$79,0,Cultures!$D$5:$D$79)</f>
        <v>22956.52</v>
      </c>
      <c r="R42" s="12">
        <f>SUMIF(Cultures!$AT$5:$AT$79,"&lt;=1",Cultures!$D$5:$D$79)</f>
        <v>22956.52</v>
      </c>
    </row>
    <row r="43" spans="1:18" x14ac:dyDescent="0.25">
      <c r="A43" s="28" t="s">
        <v>68</v>
      </c>
      <c r="B43" s="15" t="s">
        <v>53</v>
      </c>
      <c r="C43" s="5" t="s">
        <v>440</v>
      </c>
      <c r="D43" s="5" t="s">
        <v>339</v>
      </c>
      <c r="E43" s="5" t="s">
        <v>441</v>
      </c>
      <c r="F43" s="5" t="s">
        <v>442</v>
      </c>
      <c r="G43" s="5" t="s">
        <v>443</v>
      </c>
      <c r="H43" s="5" t="s">
        <v>444</v>
      </c>
      <c r="I43" s="8" t="s">
        <v>397</v>
      </c>
      <c r="J43" s="13">
        <f>IFERROR(AVERAGE(Cultures!$AU$5:$AU$79),"–")</f>
        <v>1.9130434782608696</v>
      </c>
      <c r="K43" s="13">
        <f>IFERROR(SUMPRODUCT(Cultures!$D$5:$D$79,Cultures!$AU$5:$AU$79)/SUMIF(Cultures!$AU$5:$AU$79,"&gt;=0",Cultures!$D$5:$D$79),"–")</f>
        <v>1.975039738303117</v>
      </c>
      <c r="L43" s="11">
        <f>COUNTIF(Cultures!$AU$5:$AU$79,0)</f>
        <v>0</v>
      </c>
      <c r="M43" s="11">
        <f>COUNTIF(Cultures!$AU$5:$AU$79,1)</f>
        <v>4</v>
      </c>
      <c r="N43" s="11">
        <f>COUNTIF(Cultures!$AU$5:$AU$79,2)</f>
        <v>42</v>
      </c>
      <c r="O43" s="11">
        <f>COUNTIF(Cultures!$AU$5:$AU$79,3)</f>
        <v>0</v>
      </c>
      <c r="P43" s="11">
        <f>COUNTIF(Cultures!$AU$5:$AU$79,"–")</f>
        <v>29</v>
      </c>
      <c r="Q43" s="12">
        <f>SUMIF(Cultures!$AU$5:$AU$79,0,Cultures!$D$5:$D$79)</f>
        <v>0</v>
      </c>
      <c r="R43" s="12">
        <f>SUMIF(Cultures!$AU$5:$AU$79,"&lt;=1",Cultures!$D$5:$D$79)</f>
        <v>411.72999999999996</v>
      </c>
    </row>
    <row r="44" spans="1:18" x14ac:dyDescent="0.25">
      <c r="A44" s="28" t="s">
        <v>68</v>
      </c>
      <c r="B44" s="15" t="s">
        <v>54</v>
      </c>
      <c r="C44" s="5" t="s">
        <v>445</v>
      </c>
      <c r="D44" s="5" t="s">
        <v>446</v>
      </c>
      <c r="E44" s="5" t="s">
        <v>418</v>
      </c>
      <c r="F44" s="5" t="s">
        <v>447</v>
      </c>
      <c r="G44" s="5" t="s">
        <v>448</v>
      </c>
      <c r="H44" s="5" t="s">
        <v>449</v>
      </c>
      <c r="I44" s="8" t="s">
        <v>343</v>
      </c>
      <c r="J44" s="13">
        <f>IFERROR(AVERAGE(Cultures!$AV$5:$AV$79),"–")</f>
        <v>1.1702127659574468</v>
      </c>
      <c r="K44" s="13">
        <f>IFERROR(SUMPRODUCT(Cultures!$D$5:$D$79,Cultures!$AV$5:$AV$79)/SUMIF(Cultures!$AV$5:$AV$79,"&gt;=0",Cultures!$D$5:$D$79),"–")</f>
        <v>1.4077467839210147</v>
      </c>
      <c r="L44" s="11">
        <f>COUNTIF(Cultures!$AV$5:$AV$79,0)</f>
        <v>0</v>
      </c>
      <c r="M44" s="11">
        <f>COUNTIF(Cultures!$AV$5:$AV$79,1)</f>
        <v>39</v>
      </c>
      <c r="N44" s="11">
        <f>COUNTIF(Cultures!$AV$5:$AV$79,2)</f>
        <v>8</v>
      </c>
      <c r="O44" s="11">
        <f>COUNTIF(Cultures!$AV$5:$AV$79,3)</f>
        <v>0</v>
      </c>
      <c r="P44" s="11">
        <f>COUNTIF(Cultures!$AV$5:$AV$79,"–")</f>
        <v>28</v>
      </c>
      <c r="Q44" s="12">
        <f>SUMIF(Cultures!$AV$5:$AV$79,0,Cultures!$D$5:$D$79)</f>
        <v>0</v>
      </c>
      <c r="R44" s="12">
        <f>SUMIF(Cultures!$AV$5:$AV$79,"&lt;=1",Cultures!$D$5:$D$79)</f>
        <v>2310.67</v>
      </c>
    </row>
    <row r="45" spans="1:18" x14ac:dyDescent="0.25">
      <c r="A45" s="28" t="s">
        <v>68</v>
      </c>
      <c r="B45" s="15" t="s">
        <v>55</v>
      </c>
      <c r="C45" s="5" t="s">
        <v>450</v>
      </c>
      <c r="D45" s="5" t="s">
        <v>451</v>
      </c>
      <c r="E45" s="5" t="s">
        <v>418</v>
      </c>
      <c r="F45" s="5" t="s">
        <v>298</v>
      </c>
      <c r="G45" s="5" t="s">
        <v>452</v>
      </c>
      <c r="H45" s="5" t="s">
        <v>453</v>
      </c>
      <c r="I45" s="8" t="s">
        <v>439</v>
      </c>
      <c r="J45" s="13">
        <f>IFERROR(AVERAGE(Cultures!$AW$5:$AW$79),"–")</f>
        <v>0.0</v>
      </c>
      <c r="K45" s="13">
        <f>IFERROR(SUMPRODUCT(Cultures!$D$5:$D$79,Cultures!$AW$5:$AW$79)/SUMIF(Cultures!$AW$5:$AW$79,"&gt;=0",Cultures!$D$5:$D$79),"–")</f>
        <v>0.0</v>
      </c>
      <c r="L45" s="11">
        <f>COUNTIF(Cultures!$AW$5:$AW$79,0)</f>
        <v>47</v>
      </c>
      <c r="M45" s="11">
        <f>COUNTIF(Cultures!$AW$5:$AW$79,1)</f>
        <v>0</v>
      </c>
      <c r="N45" s="11">
        <f>COUNTIF(Cultures!$AW$5:$AW$79,2)</f>
        <v>0</v>
      </c>
      <c r="O45" s="11">
        <f>COUNTIF(Cultures!$AW$5:$AW$79,3)</f>
        <v>0</v>
      </c>
      <c r="P45" s="11">
        <f>COUNTIF(Cultures!$AW$5:$AW$79,"–")</f>
        <v>28</v>
      </c>
      <c r="Q45" s="12">
        <f>SUMIF(Cultures!$AW$5:$AW$79,0,Cultures!$D$5:$D$79)</f>
        <v>3901.4900000000002</v>
      </c>
      <c r="R45" s="12">
        <f>SUMIF(Cultures!$AW$5:$AW$79,"&lt;=1",Cultures!$D$5:$D$79)</f>
        <v>3901.4900000000002</v>
      </c>
    </row>
    <row r="46" spans="1:18" x14ac:dyDescent="0.25">
      <c r="A46" s="28" t="s">
        <v>68</v>
      </c>
      <c r="B46" s="15" t="s">
        <v>56</v>
      </c>
      <c r="C46" s="5" t="s">
        <v>454</v>
      </c>
      <c r="D46" s="5" t="s">
        <v>455</v>
      </c>
      <c r="E46" s="5" t="s">
        <v>456</v>
      </c>
      <c r="F46" s="5" t="s">
        <v>457</v>
      </c>
      <c r="G46" s="5" t="s">
        <v>458</v>
      </c>
      <c r="H46" s="5" t="s">
        <v>316</v>
      </c>
      <c r="J46" s="13">
        <f>IFERROR(AVERAGE(Cultures!$AX$5:$AX$79),"–")</f>
        <v>3.0</v>
      </c>
      <c r="K46" s="13">
        <f>IFERROR(SUMPRODUCT(Cultures!$D$5:$D$79,Cultures!$AX$5:$AX$79)/SUMIF(Cultures!$AX$5:$AX$79,"&gt;=0",Cultures!$D$5:$D$79),"–")</f>
        <v>3.0</v>
      </c>
      <c r="L46" s="11">
        <f>COUNTIF(Cultures!$AX$5:$AX$79,0)</f>
        <v>0</v>
      </c>
      <c r="M46" s="11">
        <f>COUNTIF(Cultures!$AX$5:$AX$79,1)</f>
        <v>0</v>
      </c>
      <c r="N46" s="11">
        <f>COUNTIF(Cultures!$AX$5:$AX$79,2)</f>
        <v>0</v>
      </c>
      <c r="O46" s="11">
        <f>COUNTIF(Cultures!$AX$5:$AX$79,3)</f>
        <v>71</v>
      </c>
      <c r="P46" s="11">
        <f>COUNTIF(Cultures!$AX$5:$AX$79,"–")</f>
        <v>4</v>
      </c>
      <c r="Q46" s="12">
        <f>SUMIF(Cultures!$AX$5:$AX$79,0,Cultures!$D$5:$D$79)</f>
        <v>0</v>
      </c>
      <c r="R46" s="12">
        <f>SUMIF(Cultures!$AX$5:$AX$79,"&lt;=1",Cultures!$D$5:$D$79)</f>
        <v>0</v>
      </c>
    </row>
    <row r="47" spans="1:18" x14ac:dyDescent="0.25">
      <c r="A47" s="28" t="s">
        <v>68</v>
      </c>
      <c r="B47" s="15" t="s">
        <v>57</v>
      </c>
      <c r="C47" s="5" t="s">
        <v>459</v>
      </c>
      <c r="D47" s="5" t="s">
        <v>460</v>
      </c>
      <c r="E47" s="5" t="s">
        <v>461</v>
      </c>
      <c r="F47" s="5" t="s">
        <v>462</v>
      </c>
      <c r="G47" s="5" t="s">
        <v>463</v>
      </c>
      <c r="H47" s="5" t="s">
        <v>464</v>
      </c>
      <c r="I47" s="8" t="s">
        <v>397</v>
      </c>
      <c r="J47" s="13">
        <f>IFERROR(AVERAGE(Cultures!$AY$5:$AY$79),"–")</f>
        <v>0.0</v>
      </c>
      <c r="K47" s="13">
        <f>IFERROR(SUMPRODUCT(Cultures!$D$5:$D$79,Cultures!$AY$5:$AY$79)/SUMIF(Cultures!$AY$5:$AY$79,"&gt;=0",Cultures!$D$5:$D$79),"–")</f>
        <v>0.0</v>
      </c>
      <c r="L47" s="11">
        <f>COUNTIF(Cultures!$AY$5:$AY$79,0)</f>
        <v>2</v>
      </c>
      <c r="M47" s="11">
        <f>COUNTIF(Cultures!$AY$5:$AY$79,1)</f>
        <v>0</v>
      </c>
      <c r="N47" s="11">
        <f>COUNTIF(Cultures!$AY$5:$AY$79,2)</f>
        <v>0</v>
      </c>
      <c r="O47" s="11">
        <f>COUNTIF(Cultures!$AY$5:$AY$79,3)</f>
        <v>0</v>
      </c>
      <c r="P47" s="11">
        <f>COUNTIF(Cultures!$AY$5:$AY$79,"–")</f>
        <v>73</v>
      </c>
      <c r="Q47" s="12">
        <f>SUMIF(Cultures!$AY$5:$AY$79,0,Cultures!$D$5:$D$79)</f>
        <v>6109.43</v>
      </c>
      <c r="R47" s="12">
        <f>SUMIF(Cultures!$AY$5:$AY$79,"&lt;=1",Cultures!$D$5:$D$79)</f>
        <v>6109.43</v>
      </c>
    </row>
    <row r="48" spans="1:18" x14ac:dyDescent="0.25">
      <c r="A48" s="29" t="s">
        <v>13</v>
      </c>
      <c r="B48" s="15" t="s">
        <v>58</v>
      </c>
      <c r="C48" s="5" t="s">
        <v>465</v>
      </c>
      <c r="D48" s="5" t="s">
        <v>466</v>
      </c>
      <c r="E48" s="5" t="s">
        <v>355</v>
      </c>
      <c r="F48" s="5" t="s">
        <v>467</v>
      </c>
      <c r="G48" s="5" t="s">
        <v>468</v>
      </c>
      <c r="H48" s="5" t="s">
        <v>316</v>
      </c>
      <c r="J48" s="13">
        <f>IFERROR(AVERAGE(Cultures!$AZ$5:$AZ$79),"–")</f>
        <v>3.0</v>
      </c>
      <c r="K48" s="13">
        <f>IFERROR(SUMPRODUCT(Cultures!$D$5:$D$79,Cultures!$AZ$5:$AZ$79)/SUMIF(Cultures!$AZ$5:$AZ$79,"&gt;=0",Cultures!$D$5:$D$79),"–")</f>
        <v>3.0</v>
      </c>
      <c r="L48" s="11">
        <f>COUNTIF(Cultures!$AZ$5:$AZ$79,0)</f>
        <v>0</v>
      </c>
      <c r="M48" s="11">
        <f>COUNTIF(Cultures!$AZ$5:$AZ$79,1)</f>
        <v>0</v>
      </c>
      <c r="N48" s="11">
        <f>COUNTIF(Cultures!$AZ$5:$AZ$79,2)</f>
        <v>0</v>
      </c>
      <c r="O48" s="11">
        <f>COUNTIF(Cultures!$AZ$5:$AZ$79,3)</f>
        <v>73</v>
      </c>
      <c r="P48" s="11">
        <f>COUNTIF(Cultures!$AZ$5:$AZ$79,"–")</f>
        <v>2</v>
      </c>
      <c r="Q48" s="12">
        <f>SUMIF(Cultures!$AZ$5:$AZ$79,0,Cultures!$D$5:$D$79)</f>
        <v>0</v>
      </c>
      <c r="R48" s="12">
        <f>SUMIF(Cultures!$AZ$5:$AZ$79,"&lt;=1",Cultures!$D$5:$D$79)</f>
        <v>0</v>
      </c>
    </row>
    <row r="49" spans="1:18" x14ac:dyDescent="0.25">
      <c r="A49" s="29" t="s">
        <v>13</v>
      </c>
      <c r="B49" s="15" t="s">
        <v>59</v>
      </c>
      <c r="C49" s="5" t="s">
        <v>469</v>
      </c>
      <c r="D49" s="5" t="s">
        <v>431</v>
      </c>
      <c r="E49" s="5" t="s">
        <v>355</v>
      </c>
      <c r="F49" s="5" t="s">
        <v>470</v>
      </c>
      <c r="G49" s="5" t="s">
        <v>471</v>
      </c>
      <c r="H49" s="5" t="s">
        <v>472</v>
      </c>
      <c r="I49" s="8" t="s">
        <v>397</v>
      </c>
      <c r="J49" s="13">
        <f>IFERROR(AVERAGE(Cultures!$BA$5:$BA$79),"–")</f>
        <v>0.5616438356164384</v>
      </c>
      <c r="K49" s="13">
        <f>IFERROR(SUMPRODUCT(Cultures!$D$5:$D$79,Cultures!$BA$5:$BA$79)/SUMIF(Cultures!$BA$5:$BA$79,"&gt;=0",Cultures!$D$5:$D$79),"–")</f>
        <v>0.9170266200275536</v>
      </c>
      <c r="L49" s="11">
        <f>COUNTIF(Cultures!$BA$5:$BA$79,0)</f>
        <v>32</v>
      </c>
      <c r="M49" s="11">
        <f>COUNTIF(Cultures!$BA$5:$BA$79,1)</f>
        <v>41</v>
      </c>
      <c r="N49" s="11">
        <f>COUNTIF(Cultures!$BA$5:$BA$79,2)</f>
        <v>0</v>
      </c>
      <c r="O49" s="11">
        <f>COUNTIF(Cultures!$BA$5:$BA$79,3)</f>
        <v>0</v>
      </c>
      <c r="P49" s="11">
        <f>COUNTIF(Cultures!$BA$5:$BA$79,"–")</f>
        <v>2</v>
      </c>
      <c r="Q49" s="12">
        <f>SUMIF(Cultures!$BA$5:$BA$79,0,Cultures!$D$5:$D$79)</f>
        <v>1397.86</v>
      </c>
      <c r="R49" s="12">
        <f>SUMIF(Cultures!$BA$5:$BA$79,"&lt;=1",Cultures!$D$5:$D$79)</f>
        <v>16847.09</v>
      </c>
    </row>
    <row r="50" spans="1:18" x14ac:dyDescent="0.25">
      <c r="A50" s="30" t="s">
        <v>14</v>
      </c>
      <c r="B50" s="15" t="s">
        <v>60</v>
      </c>
      <c r="C50" s="5" t="s">
        <v>473</v>
      </c>
      <c r="D50" s="5" t="s">
        <v>474</v>
      </c>
      <c r="E50" s="5" t="s">
        <v>475</v>
      </c>
      <c r="F50" s="5" t="s">
        <v>476</v>
      </c>
      <c r="G50" s="5" t="s">
        <v>477</v>
      </c>
      <c r="H50" s="5" t="s">
        <v>478</v>
      </c>
      <c r="I50" s="8" t="s">
        <v>479</v>
      </c>
      <c r="J50" s="13">
        <f>IFERROR(AVERAGE(Cultures!$BB$5:$BB$79),"–")</f>
        <v>1.864864864864865</v>
      </c>
      <c r="K50" s="13">
        <f>IFERROR(SUMPRODUCT(Cultures!$D$5:$D$79,Cultures!$BB$5:$BB$79)/SUMIF(Cultures!$BB$5:$BB$79,"&gt;=0",Cultures!$D$5:$D$79),"–")</f>
        <v>2.0</v>
      </c>
      <c r="L50" s="11">
        <f>COUNTIF(Cultures!$BB$5:$BB$79,0)</f>
        <v>0</v>
      </c>
      <c r="M50" s="11">
        <f>COUNTIF(Cultures!$BB$5:$BB$79,1)</f>
        <v>10</v>
      </c>
      <c r="N50" s="11">
        <f>COUNTIF(Cultures!$BB$5:$BB$79,2)</f>
        <v>64</v>
      </c>
      <c r="O50" s="11">
        <f>COUNTIF(Cultures!$BB$5:$BB$79,3)</f>
        <v>0</v>
      </c>
      <c r="P50" s="11">
        <f>COUNTIF(Cultures!$BB$5:$BB$79,"–")</f>
        <v>1</v>
      </c>
      <c r="Q50" s="12">
        <f>SUMIF(Cultures!$BB$5:$BB$79,0,Cultures!$D$5:$D$79)</f>
        <v>0</v>
      </c>
      <c r="R50" s="12">
        <f>SUMIF(Cultures!$BB$5:$BB$79,"&lt;=1",Cultures!$D$5:$D$79)</f>
        <v>0.0</v>
      </c>
    </row>
    <row r="51" spans="1:18" x14ac:dyDescent="0.25">
      <c r="A51" s="30" t="s">
        <v>14</v>
      </c>
      <c r="B51" s="15" t="s">
        <v>61</v>
      </c>
      <c r="C51" s="5" t="s">
        <v>480</v>
      </c>
      <c r="D51" s="5" t="s">
        <v>481</v>
      </c>
      <c r="E51" s="5" t="s">
        <v>475</v>
      </c>
      <c r="F51" s="5" t="s">
        <v>482</v>
      </c>
      <c r="G51" s="5" t="s">
        <v>483</v>
      </c>
      <c r="H51" s="5" t="s">
        <v>484</v>
      </c>
      <c r="I51" s="8" t="s">
        <v>479</v>
      </c>
      <c r="J51" s="13">
        <f>IFERROR(AVERAGE(Cultures!$BC$5:$BC$79),"–")</f>
        <v>2.0</v>
      </c>
      <c r="K51" s="13">
        <f>IFERROR(SUMPRODUCT(Cultures!$D$5:$D$79,Cultures!$BC$5:$BC$79)/SUMIF(Cultures!$BC$5:$BC$79,"&gt;=0",Cultures!$D$5:$D$79),"–")</f>
        <v>2.0</v>
      </c>
      <c r="L51" s="11">
        <f>COUNTIF(Cultures!$BC$5:$BC$79,0)</f>
        <v>0</v>
      </c>
      <c r="M51" s="11">
        <f>COUNTIF(Cultures!$BC$5:$BC$79,1)</f>
        <v>0</v>
      </c>
      <c r="N51" s="11">
        <f>COUNTIF(Cultures!$BC$5:$BC$79,2)</f>
        <v>75</v>
      </c>
      <c r="O51" s="11">
        <f>COUNTIF(Cultures!$BC$5:$BC$79,3)</f>
        <v>0</v>
      </c>
      <c r="P51" s="11">
        <f>COUNTIF(Cultures!$BC$5:$BC$79,"–")</f>
        <v>0</v>
      </c>
      <c r="Q51" s="12">
        <f>SUMIF(Cultures!$BC$5:$BC$79,0,Cultures!$D$5:$D$79)</f>
        <v>0</v>
      </c>
      <c r="R51" s="12">
        <f>SUMIF(Cultures!$BC$5:$BC$79,"&lt;=1",Cultures!$D$5:$D$79)</f>
        <v>0</v>
      </c>
    </row>
    <row r="52" spans="1:18" x14ac:dyDescent="0.25">
      <c r="A52" s="30" t="s">
        <v>14</v>
      </c>
      <c r="B52" s="15" t="s">
        <v>62</v>
      </c>
      <c r="C52" s="5" t="s">
        <v>485</v>
      </c>
      <c r="D52" s="5" t="s">
        <v>486</v>
      </c>
      <c r="E52" s="5" t="s">
        <v>487</v>
      </c>
      <c r="F52" s="5" t="s">
        <v>488</v>
      </c>
      <c r="G52" s="5" t="s">
        <v>489</v>
      </c>
      <c r="H52" s="5" t="s">
        <v>316</v>
      </c>
      <c r="J52" s="13">
        <f>IFERROR(AVERAGE(Cultures!$BD$5:$BD$79),"–")</f>
        <v>2.0</v>
      </c>
      <c r="K52" s="13">
        <f>IFERROR(SUMPRODUCT(Cultures!$D$5:$D$79,Cultures!$BD$5:$BD$79)/SUMIF(Cultures!$BD$5:$BD$79,"&gt;=0",Cultures!$D$5:$D$79),"–")</f>
        <v>2.0</v>
      </c>
      <c r="L52" s="11">
        <f>COUNTIF(Cultures!$BD$5:$BD$79,0)</f>
        <v>0</v>
      </c>
      <c r="M52" s="11">
        <f>COUNTIF(Cultures!$BD$5:$BD$79,1)</f>
        <v>0</v>
      </c>
      <c r="N52" s="11">
        <f>COUNTIF(Cultures!$BD$5:$BD$79,2)</f>
        <v>75</v>
      </c>
      <c r="O52" s="11">
        <f>COUNTIF(Cultures!$BD$5:$BD$79,3)</f>
        <v>0</v>
      </c>
      <c r="P52" s="11">
        <f>COUNTIF(Cultures!$BD$5:$BD$79,"–")</f>
        <v>0</v>
      </c>
      <c r="Q52" s="12">
        <f>SUMIF(Cultures!$BD$5:$BD$79,0,Cultures!$D$5:$D$79)</f>
        <v>0</v>
      </c>
      <c r="R52" s="12">
        <f>SUMIF(Cultures!$BD$5:$BD$79,"&lt;=1",Cultures!$D$5:$D$79)</f>
        <v>0</v>
      </c>
    </row>
    <row r="53" spans="1:18" x14ac:dyDescent="0.25">
      <c r="A53" s="30" t="s">
        <v>14</v>
      </c>
      <c r="B53" s="15" t="s">
        <v>63</v>
      </c>
      <c r="C53" s="5" t="s">
        <v>490</v>
      </c>
      <c r="D53" s="5" t="s">
        <v>481</v>
      </c>
      <c r="E53" s="5" t="s">
        <v>475</v>
      </c>
      <c r="F53" s="5" t="s">
        <v>491</v>
      </c>
      <c r="G53" s="5" t="s">
        <v>492</v>
      </c>
      <c r="H53" s="5" t="s">
        <v>316</v>
      </c>
      <c r="J53" s="13">
        <f>IFERROR(AVERAGE(Cultures!$BE$5:$BE$79),"–")</f>
        <v>2.0</v>
      </c>
      <c r="K53" s="13">
        <f>IFERROR(SUMPRODUCT(Cultures!$D$5:$D$79,Cultures!$BE$5:$BE$79)/SUMIF(Cultures!$BE$5:$BE$79,"&gt;=0",Cultures!$D$5:$D$79),"–")</f>
        <v>2.0</v>
      </c>
      <c r="L53" s="11">
        <f>COUNTIF(Cultures!$BE$5:$BE$79,0)</f>
        <v>0</v>
      </c>
      <c r="M53" s="11">
        <f>COUNTIF(Cultures!$BE$5:$BE$79,1)</f>
        <v>0</v>
      </c>
      <c r="N53" s="11">
        <f>COUNTIF(Cultures!$BE$5:$BE$79,2)</f>
        <v>75</v>
      </c>
      <c r="O53" s="11">
        <f>COUNTIF(Cultures!$BE$5:$BE$79,3)</f>
        <v>0</v>
      </c>
      <c r="P53" s="11">
        <f>COUNTIF(Cultures!$BE$5:$BE$79,"–")</f>
        <v>0</v>
      </c>
      <c r="Q53" s="12">
        <f>SUMIF(Cultures!$BE$5:$BE$79,0,Cultures!$D$5:$D$79)</f>
        <v>0</v>
      </c>
      <c r="R53" s="12">
        <f>SUMIF(Cultures!$BE$5:$BE$79,"&lt;=1",Cultures!$D$5:$D$79)</f>
        <v>0</v>
      </c>
    </row>
    <row r="54" spans="1:18" x14ac:dyDescent="0.25">
      <c r="A54" s="30" t="s">
        <v>14</v>
      </c>
      <c r="B54" s="15" t="s">
        <v>64</v>
      </c>
      <c r="C54" s="5" t="s">
        <v>493</v>
      </c>
      <c r="D54" s="5" t="s">
        <v>481</v>
      </c>
      <c r="E54" s="5" t="s">
        <v>494</v>
      </c>
      <c r="F54" s="5" t="s">
        <v>495</v>
      </c>
      <c r="G54" s="5" t="s">
        <v>496</v>
      </c>
      <c r="H54" s="5" t="s">
        <v>497</v>
      </c>
      <c r="I54" s="8" t="s">
        <v>397</v>
      </c>
      <c r="J54" s="13">
        <f>IFERROR(AVERAGE(Cultures!$BF$5:$BF$79),"–")</f>
        <v>0.0</v>
      </c>
      <c r="K54" s="13">
        <f>IFERROR(SUMPRODUCT(Cultures!$D$5:$D$79,Cultures!$BF$5:$BF$79)/SUMIF(Cultures!$BF$5:$BF$79,"&gt;=0",Cultures!$D$5:$D$79),"–")</f>
        <v>0.0</v>
      </c>
      <c r="L54" s="11">
        <f>COUNTIF(Cultures!$BF$5:$BF$79,0)</f>
        <v>75</v>
      </c>
      <c r="M54" s="11">
        <f>COUNTIF(Cultures!$BF$5:$BF$79,1)</f>
        <v>0</v>
      </c>
      <c r="N54" s="11">
        <f>COUNTIF(Cultures!$BF$5:$BF$79,2)</f>
        <v>0</v>
      </c>
      <c r="O54" s="11">
        <f>COUNTIF(Cultures!$BF$5:$BF$79,3)</f>
        <v>0</v>
      </c>
      <c r="P54" s="11">
        <f>COUNTIF(Cultures!$BF$5:$BF$79,"–")</f>
        <v>0</v>
      </c>
      <c r="Q54" s="12">
        <f>SUMIF(Cultures!$BF$5:$BF$79,0,Cultures!$D$5:$D$79)</f>
        <v>23577.99</v>
      </c>
      <c r="R54" s="12">
        <f>SUMIF(Cultures!$BF$5:$BF$79,"&lt;=1",Cultures!$D$5:$D$79)</f>
        <v>23577.99</v>
      </c>
    </row>
    <row r="56" spans="1:18" x14ac:dyDescent="0.25">
      <c r="A56" s="3" t="s">
        <v>498</v>
      </c>
    </row>
    <row r="57" spans="1:18" ht="30" customHeight="1" x14ac:dyDescent="0.25">
      <c r="A57" s="15" t="s">
        <v>499</v>
      </c>
      <c r="B57" s="15"/>
      <c r="C57" s="5" t="s">
        <v>500</v>
      </c>
      <c r="D57" s="5"/>
      <c r="E57" s="5"/>
      <c r="F57" s="5"/>
      <c r="G57" s="5"/>
      <c r="H57" s="5"/>
    </row>
    <row r="58" spans="1:18" ht="30" customHeight="1" x14ac:dyDescent="0.25">
      <c r="A58" s="15" t="s">
        <v>501</v>
      </c>
      <c r="B58" s="15"/>
      <c r="C58" s="5" t="s">
        <v>502</v>
      </c>
      <c r="D58" s="5"/>
      <c r="E58" s="5"/>
      <c r="F58" s="5"/>
      <c r="G58" s="5"/>
      <c r="H58" s="5"/>
    </row>
    <row r="59" spans="1:18" ht="30" customHeight="1" x14ac:dyDescent="0.25">
      <c r="A59" s="15" t="s">
        <v>503</v>
      </c>
      <c r="B59" s="15"/>
      <c r="C59" s="5" t="s">
        <v>504</v>
      </c>
      <c r="D59" s="5"/>
      <c r="E59" s="5"/>
      <c r="F59" s="5"/>
      <c r="G59" s="5"/>
      <c r="H59" s="5"/>
    </row>
    <row r="60" spans="1:18" ht="30" customHeight="1" x14ac:dyDescent="0.25">
      <c r="A60" s="15" t="s">
        <v>505</v>
      </c>
      <c r="B60" s="15"/>
      <c r="C60" s="5" t="s">
        <v>506</v>
      </c>
      <c r="D60" s="5"/>
      <c r="E60" s="5"/>
      <c r="F60" s="5"/>
      <c r="G60" s="5"/>
      <c r="H60" s="5"/>
    </row>
    <row r="61" spans="1:18" ht="30" customHeight="1" x14ac:dyDescent="0.25">
      <c r="A61" s="15" t="s">
        <v>507</v>
      </c>
      <c r="B61" s="15"/>
      <c r="C61" s="5" t="s">
        <v>508</v>
      </c>
      <c r="D61" s="5"/>
      <c r="E61" s="5"/>
      <c r="F61" s="5"/>
      <c r="G61" s="5"/>
      <c r="H61" s="5"/>
    </row>
    <row r="62" spans="1:18" ht="30" customHeight="1" x14ac:dyDescent="0.25">
      <c r="A62" s="15" t="s">
        <v>509</v>
      </c>
      <c r="B62" s="15"/>
      <c r="C62" s="5" t="s">
        <v>510</v>
      </c>
      <c r="D62" s="5"/>
      <c r="E62" s="5"/>
      <c r="F62" s="5"/>
      <c r="G62" s="5"/>
      <c r="H62" s="5"/>
    </row>
    <row r="63" spans="1:18" ht="30" customHeight="1" x14ac:dyDescent="0.25">
      <c r="A63" s="15" t="s">
        <v>511</v>
      </c>
      <c r="B63" s="15"/>
      <c r="C63" s="5" t="s">
        <v>512</v>
      </c>
      <c r="D63" s="5"/>
      <c r="E63" s="5"/>
      <c r="F63" s="5"/>
      <c r="G63" s="5"/>
      <c r="H63" s="5"/>
    </row>
    <row r="64" spans="1:18" ht="30" customHeight="1" x14ac:dyDescent="0.25">
      <c r="A64" s="15" t="s">
        <v>513</v>
      </c>
      <c r="B64" s="15"/>
      <c r="C64" s="5" t="s">
        <v>514</v>
      </c>
      <c r="D64" s="5"/>
      <c r="E64" s="5"/>
      <c r="F64" s="5"/>
      <c r="G64" s="5"/>
      <c r="H64" s="5"/>
    </row>
    <row r="65" spans="1:8" ht="30" customHeight="1" x14ac:dyDescent="0.25">
      <c r="A65" s="15" t="s">
        <v>515</v>
      </c>
      <c r="B65" s="15"/>
      <c r="C65" s="5" t="s">
        <v>516</v>
      </c>
      <c r="D65" s="5"/>
      <c r="E65" s="5"/>
      <c r="F65" s="5"/>
      <c r="G65" s="5"/>
      <c r="H65" s="5"/>
    </row>
    <row r="66" spans="1:8" ht="30" customHeight="1" x14ac:dyDescent="0.25">
      <c r="A66" s="15" t="s">
        <v>517</v>
      </c>
      <c r="B66" s="15"/>
      <c r="C66" s="5" t="s">
        <v>518</v>
      </c>
      <c r="D66" s="5"/>
      <c r="E66" s="5"/>
      <c r="F66" s="5"/>
      <c r="G66" s="5"/>
      <c r="H66" s="5"/>
    </row>
    <row r="67" spans="1:8" ht="30" customHeight="1" x14ac:dyDescent="0.25">
      <c r="A67" s="15" t="s">
        <v>519</v>
      </c>
      <c r="B67" s="15"/>
      <c r="C67" s="5" t="s">
        <v>520</v>
      </c>
      <c r="D67" s="5"/>
      <c r="E67" s="5"/>
      <c r="F67" s="5"/>
      <c r="G67" s="5"/>
      <c r="H67" s="5"/>
    </row>
    <row r="68" spans="1:8" ht="30" customHeight="1" x14ac:dyDescent="0.25">
      <c r="A68" s="15" t="s">
        <v>521</v>
      </c>
      <c r="B68" s="15"/>
      <c r="C68" s="5" t="s">
        <v>522</v>
      </c>
      <c r="D68" s="5"/>
      <c r="E68" s="5"/>
      <c r="F68" s="5"/>
      <c r="G68" s="5"/>
      <c r="H68" s="5"/>
    </row>
    <row r="69" spans="1:8" ht="30" customHeight="1" x14ac:dyDescent="0.25">
      <c r="A69" s="15" t="s">
        <v>523</v>
      </c>
      <c r="B69" s="15"/>
      <c r="C69" s="5" t="s">
        <v>524</v>
      </c>
      <c r="D69" s="5"/>
      <c r="E69" s="5"/>
      <c r="F69" s="5"/>
      <c r="G69" s="5"/>
      <c r="H69" s="5"/>
    </row>
  </sheetData>
  <autoFilter ref="A4:R54"/>
  <mergeCells count="2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s>
  <conditionalFormatting sqref="J5:K54">
    <cfRule type="colorScale" priority="1">
      <colorScale>
        <cfvo type="num" val="0"/>
        <cfvo type="num" val="1.5"/>
        <cfvo type="num" val="3"/>
        <color rgb="FFF8696B"/>
        <color rgb="FFFFEB84"/>
        <color rgb="FF63BE7B"/>
      </colorScale>
    </cfRule>
  </conditionalFormatting>
  <conditionalFormatting sqref="Q5:Q54">
    <cfRule type="dataBar" priority="2">
      <dataBar>
        <cfvo type="min"/>
        <cfvo type="max"/>
        <color rgb="FFF59E0B"/>
      </dataBar>
      <extLst>
        <ext xmlns:x14="http://schemas.microsoft.com/office/spreadsheetml/2009/9/main" uri="{B025F937-C7B1-47D3-B67F-A62EFF666E3E}">
          <x14:id>{DA7ABA51-AAAA-BBBB-0004-000000000001}</x14:id>
        </ext>
      </extLst>
    </cfRule>
  </conditionalFormatting>
  <conditionalFormatting sqref="R5:R54">
    <cfRule type="dataBar" priority="3">
      <dataBar>
        <cfvo type="min"/>
        <cfvo type="max"/>
        <color rgb="FFF59E0B"/>
      </dataBar>
      <extLst>
        <ext xmlns:x14="http://schemas.microsoft.com/office/spreadsheetml/2009/9/main" uri="{B025F937-C7B1-47D3-B67F-A62EFF666E3E}">
          <x14:id>{DA7ABA51-AAAA-BBBB-0004-000000000002}</x14:id>
        </ext>
      </extLst>
    </cfRule>
  </conditionalFormatting>
  <hyperlinks>
    <hyperlink ref="I5" r:id="rId1"/>
    <hyperlink ref="I6" r:id="rId2"/>
    <hyperlink ref="I7" r:id="rId3"/>
    <hyperlink ref="I8" r:id="rId4"/>
    <hyperlink ref="I9" r:id="rId5"/>
    <hyperlink ref="I10" r:id="rId6"/>
    <hyperlink ref="I11" r:id="rId7"/>
    <hyperlink ref="I12" r:id="rId8"/>
    <hyperlink ref="I14" r:id="rId9"/>
    <hyperlink ref="I15" r:id="rId10"/>
    <hyperlink ref="I16" r:id="rId11"/>
    <hyperlink ref="I17" r:id="rId12"/>
    <hyperlink ref="I18" r:id="rId13"/>
    <hyperlink ref="I19" r:id="rId14"/>
    <hyperlink ref="I21" r:id="rId15"/>
    <hyperlink ref="I22" r:id="rId16"/>
    <hyperlink ref="I23" r:id="rId17"/>
    <hyperlink ref="I24" r:id="rId18"/>
    <hyperlink ref="I25" r:id="rId19"/>
    <hyperlink ref="I26" r:id="rId20"/>
    <hyperlink ref="I29" r:id="rId21"/>
    <hyperlink ref="I31" r:id="rId22"/>
    <hyperlink ref="I32" r:id="rId23"/>
    <hyperlink ref="I33" r:id="rId24"/>
    <hyperlink ref="I35" r:id="rId25"/>
    <hyperlink ref="I36" r:id="rId26"/>
    <hyperlink ref="I38" r:id="rId27"/>
    <hyperlink ref="I41" r:id="rId28"/>
    <hyperlink ref="I42" r:id="rId29"/>
    <hyperlink ref="I43" r:id="rId30"/>
    <hyperlink ref="I44" r:id="rId31"/>
    <hyperlink ref="I45" r:id="rId32"/>
    <hyperlink ref="I47" r:id="rId33"/>
    <hyperlink ref="I49" r:id="rId34"/>
    <hyperlink ref="I50" r:id="rId35"/>
    <hyperlink ref="I51" r:id="rId36"/>
    <hyperlink ref="I54" r:id="rId37"/>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FFF59E0B"/>
              <x14:negativeFillColor rgb="FFFF0000"/>
              <x14:negativeBorderColor rgb="FFFF0000"/>
              <x14:axisColor rgb="FF000000"/>
            </x14:dataBar>
          </x14:cfRule>
          <xm:sqref>Q5:Q54</xm:sqref>
        </x14:conditionalFormatting>
        <x14:conditionalFormatting xmlns:xm="http://schemas.microsoft.com/office/excel/2006/main">
          <x14:cfRule type="dataBar" id="{DA7ABA51-AAAA-BBBB-0004-000000000002}">
            <x14:dataBar minLength="0" maxLength="100" border="1" gradient="0" negativeBarBorderColorSameAsPositive="0">
              <x14:cfvo type="autoMin"/>
              <x14:cfvo type="autoMax"/>
              <x14:borderColor rgb="FFF59E0B"/>
              <x14:negativeFillColor rgb="FFFF0000"/>
              <x14:negativeBorderColor rgb="FFFF0000"/>
              <x14:axisColor rgb="FF000000"/>
            </x14:dataBar>
          </x14:cfRule>
          <xm:sqref>R5:R54</xm:sqref>
        </x14:conditionalFormatting>
      </x14:conditionalFormattings>
    </ext>
  </extLst>
</worksheet>
</file>

<file path=xl/worksheets/sheet5.xml><?xml version="1.0" encoding="utf-8"?>
<worksheet xmlns="http://schemas.openxmlformats.org/spreadsheetml/2006/main" xmlns:r="http://schemas.openxmlformats.org/officeDocument/2006/relationships">
  <dimension ref="A1:K52"/>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4.7109375" customWidth="1"/>
    <col min="2" max="2" width="30.7109375" customWidth="1"/>
    <col min="3" max="3" width="34.7109375" customWidth="1"/>
    <col min="4" max="4" width="20.7109375" customWidth="1"/>
    <col min="5" max="5" width="18.7109375" customWidth="1"/>
    <col min="6" max="6" width="46.7109375" customWidth="1"/>
    <col min="7" max="7" width="8.7109375" customWidth="1"/>
    <col min="8" max="8" width="46.7109375" customWidth="1"/>
    <col min="9" max="9" width="34.7109375" customWidth="1"/>
    <col min="10" max="10" width="22.7109375" customWidth="1"/>
    <col min="11" max="11" width="44.7109375" customWidth="1"/>
  </cols>
  <sheetData>
    <row r="1" spans="1:11">
      <c r="A1" s="1" t="s">
        <v>525</v>
      </c>
    </row>
    <row r="2" spans="1:11">
      <c r="A2" s="2" t="s">
        <v>526</v>
      </c>
    </row>
    <row r="4" spans="1:11" ht="22" customHeight="1">
      <c r="A4" s="10" t="s">
        <v>527</v>
      </c>
      <c r="B4" s="10" t="s">
        <v>528</v>
      </c>
      <c r="C4" s="10" t="s">
        <v>529</v>
      </c>
      <c r="D4" s="10" t="s">
        <v>266</v>
      </c>
      <c r="E4" s="10" t="s">
        <v>530</v>
      </c>
      <c r="F4" s="10" t="s">
        <v>531</v>
      </c>
      <c r="G4" s="10" t="s">
        <v>532</v>
      </c>
      <c r="H4" s="10" t="s">
        <v>533</v>
      </c>
      <c r="I4" s="10" t="s">
        <v>270</v>
      </c>
      <c r="J4" s="10" t="s">
        <v>534</v>
      </c>
      <c r="K4" s="10" t="s">
        <v>535</v>
      </c>
    </row>
    <row r="5" spans="1:11">
      <c r="A5" s="7" t="s">
        <v>536</v>
      </c>
      <c r="B5" s="5" t="s">
        <v>537</v>
      </c>
      <c r="C5" s="5" t="s">
        <v>538</v>
      </c>
      <c r="D5" s="5" t="s">
        <v>282</v>
      </c>
      <c r="E5" s="5" t="s">
        <v>539</v>
      </c>
      <c r="F5" s="5" t="s">
        <v>540</v>
      </c>
      <c r="G5" s="31">
        <v>1</v>
      </c>
      <c r="H5" s="5" t="s">
        <v>541</v>
      </c>
      <c r="I5" s="8" t="s">
        <v>542</v>
      </c>
      <c r="J5" s="5" t="s">
        <v>543</v>
      </c>
      <c r="K5" s="5" t="s">
        <v>544</v>
      </c>
    </row>
    <row r="6" spans="1:11">
      <c r="A6" s="7" t="s">
        <v>536</v>
      </c>
      <c r="B6" s="5" t="s">
        <v>545</v>
      </c>
      <c r="C6" s="5" t="s">
        <v>546</v>
      </c>
      <c r="D6" s="5" t="s">
        <v>282</v>
      </c>
      <c r="E6" s="5" t="s">
        <v>539</v>
      </c>
      <c r="F6" s="5" t="s">
        <v>547</v>
      </c>
      <c r="G6" s="31">
        <v>1</v>
      </c>
      <c r="H6" s="5" t="s">
        <v>548</v>
      </c>
      <c r="I6" s="8" t="s">
        <v>542</v>
      </c>
      <c r="J6" s="5" t="s">
        <v>549</v>
      </c>
      <c r="K6" s="5" t="s">
        <v>550</v>
      </c>
    </row>
    <row r="7" spans="1:11">
      <c r="A7" s="7" t="s">
        <v>536</v>
      </c>
      <c r="B7" s="5" t="s">
        <v>551</v>
      </c>
      <c r="C7" s="5" t="s">
        <v>552</v>
      </c>
      <c r="D7" s="5" t="s">
        <v>553</v>
      </c>
      <c r="E7" s="5" t="s">
        <v>539</v>
      </c>
      <c r="F7" s="5" t="s">
        <v>547</v>
      </c>
      <c r="G7" s="31">
        <v>1</v>
      </c>
      <c r="H7" s="5" t="s">
        <v>554</v>
      </c>
      <c r="I7" s="8" t="s">
        <v>555</v>
      </c>
      <c r="J7" s="5" t="s">
        <v>556</v>
      </c>
      <c r="K7" s="5" t="s">
        <v>557</v>
      </c>
    </row>
    <row r="8" spans="1:11">
      <c r="A8" s="7" t="s">
        <v>536</v>
      </c>
      <c r="B8" s="5" t="s">
        <v>558</v>
      </c>
      <c r="C8" s="5" t="s">
        <v>559</v>
      </c>
      <c r="D8" s="5" t="s">
        <v>282</v>
      </c>
      <c r="E8" s="5" t="s">
        <v>539</v>
      </c>
      <c r="F8" s="5" t="s">
        <v>547</v>
      </c>
      <c r="G8" s="31">
        <v>1</v>
      </c>
      <c r="H8" s="5" t="s">
        <v>560</v>
      </c>
      <c r="I8" s="8" t="s">
        <v>343</v>
      </c>
      <c r="J8" s="5" t="s">
        <v>561</v>
      </c>
      <c r="K8" s="5" t="s">
        <v>562</v>
      </c>
    </row>
    <row r="9" spans="1:11">
      <c r="A9" s="7" t="s">
        <v>536</v>
      </c>
      <c r="B9" s="5" t="s">
        <v>563</v>
      </c>
      <c r="C9" s="5" t="s">
        <v>564</v>
      </c>
      <c r="D9" s="5" t="s">
        <v>282</v>
      </c>
      <c r="E9" s="5" t="s">
        <v>539</v>
      </c>
      <c r="F9" s="5" t="s">
        <v>565</v>
      </c>
      <c r="G9" s="31">
        <v>1</v>
      </c>
      <c r="H9" s="5" t="s">
        <v>566</v>
      </c>
      <c r="I9" s="8" t="s">
        <v>325</v>
      </c>
      <c r="J9" s="5" t="s">
        <v>316</v>
      </c>
      <c r="K9" s="5" t="s">
        <v>567</v>
      </c>
    </row>
    <row r="10" spans="1:11">
      <c r="A10" s="7" t="s">
        <v>536</v>
      </c>
      <c r="B10" s="5" t="s">
        <v>568</v>
      </c>
      <c r="C10" s="5" t="s">
        <v>569</v>
      </c>
      <c r="D10" s="5" t="s">
        <v>570</v>
      </c>
      <c r="E10" s="5" t="s">
        <v>539</v>
      </c>
      <c r="F10" s="5" t="s">
        <v>571</v>
      </c>
      <c r="G10" s="31">
        <v>2</v>
      </c>
      <c r="H10" s="5" t="s">
        <v>572</v>
      </c>
      <c r="I10" s="5"/>
      <c r="J10" s="5" t="s">
        <v>573</v>
      </c>
      <c r="K10" s="5" t="s">
        <v>574</v>
      </c>
    </row>
    <row r="11" spans="1:11">
      <c r="A11" s="7" t="s">
        <v>536</v>
      </c>
      <c r="B11" s="5" t="s">
        <v>575</v>
      </c>
      <c r="C11" s="5" t="s">
        <v>576</v>
      </c>
      <c r="D11" s="5" t="s">
        <v>577</v>
      </c>
      <c r="E11" s="5" t="s">
        <v>578</v>
      </c>
      <c r="F11" s="5" t="s">
        <v>579</v>
      </c>
      <c r="G11" s="31">
        <v>1</v>
      </c>
      <c r="H11" s="5" t="s">
        <v>580</v>
      </c>
      <c r="I11" s="8" t="s">
        <v>581</v>
      </c>
      <c r="J11" s="5" t="s">
        <v>582</v>
      </c>
      <c r="K11" s="5" t="s">
        <v>583</v>
      </c>
    </row>
    <row r="12" spans="1:11">
      <c r="A12" s="7" t="s">
        <v>584</v>
      </c>
      <c r="B12" s="5" t="s">
        <v>585</v>
      </c>
      <c r="C12" s="5" t="s">
        <v>586</v>
      </c>
      <c r="D12" s="5" t="s">
        <v>282</v>
      </c>
      <c r="E12" s="5" t="s">
        <v>539</v>
      </c>
      <c r="F12" s="5" t="s">
        <v>587</v>
      </c>
      <c r="G12" s="31">
        <v>2</v>
      </c>
      <c r="H12" s="5" t="s">
        <v>588</v>
      </c>
      <c r="I12" s="8" t="s">
        <v>589</v>
      </c>
      <c r="J12" s="5" t="s">
        <v>590</v>
      </c>
      <c r="K12" s="5" t="s">
        <v>591</v>
      </c>
    </row>
    <row r="13" spans="1:11">
      <c r="A13" s="7" t="s">
        <v>584</v>
      </c>
      <c r="B13" s="5" t="s">
        <v>592</v>
      </c>
      <c r="C13" s="5" t="s">
        <v>593</v>
      </c>
      <c r="D13" s="5" t="s">
        <v>282</v>
      </c>
      <c r="E13" s="5" t="s">
        <v>539</v>
      </c>
      <c r="F13" s="5" t="s">
        <v>594</v>
      </c>
      <c r="G13" s="31">
        <v>2</v>
      </c>
      <c r="H13" s="5" t="s">
        <v>316</v>
      </c>
      <c r="I13" s="5"/>
      <c r="J13" s="5" t="s">
        <v>595</v>
      </c>
      <c r="K13" s="5" t="s">
        <v>596</v>
      </c>
    </row>
    <row r="14" spans="1:11">
      <c r="A14" s="7" t="s">
        <v>584</v>
      </c>
      <c r="B14" s="5" t="s">
        <v>597</v>
      </c>
      <c r="C14" s="5" t="s">
        <v>598</v>
      </c>
      <c r="D14" s="5" t="s">
        <v>282</v>
      </c>
      <c r="E14" s="5" t="s">
        <v>539</v>
      </c>
      <c r="F14" s="5" t="s">
        <v>599</v>
      </c>
      <c r="G14" s="31">
        <v>1</v>
      </c>
      <c r="H14" s="5" t="s">
        <v>600</v>
      </c>
      <c r="I14" s="8" t="s">
        <v>601</v>
      </c>
      <c r="J14" s="5" t="s">
        <v>602</v>
      </c>
      <c r="K14" s="5" t="s">
        <v>603</v>
      </c>
    </row>
    <row r="15" spans="1:11">
      <c r="A15" s="7" t="s">
        <v>584</v>
      </c>
      <c r="B15" s="5" t="s">
        <v>604</v>
      </c>
      <c r="C15" s="5" t="s">
        <v>605</v>
      </c>
      <c r="D15" s="5" t="s">
        <v>282</v>
      </c>
      <c r="E15" s="5" t="s">
        <v>539</v>
      </c>
      <c r="F15" s="5" t="s">
        <v>547</v>
      </c>
      <c r="G15" s="31">
        <v>1</v>
      </c>
      <c r="H15" s="5" t="s">
        <v>606</v>
      </c>
      <c r="I15" s="8" t="s">
        <v>607</v>
      </c>
      <c r="J15" s="5" t="s">
        <v>608</v>
      </c>
      <c r="K15" s="5" t="s">
        <v>609</v>
      </c>
    </row>
    <row r="16" spans="1:11">
      <c r="A16" s="7" t="s">
        <v>584</v>
      </c>
      <c r="B16" s="5" t="s">
        <v>610</v>
      </c>
      <c r="C16" s="5" t="s">
        <v>611</v>
      </c>
      <c r="D16" s="5" t="s">
        <v>282</v>
      </c>
      <c r="E16" s="5" t="s">
        <v>539</v>
      </c>
      <c r="F16" s="5" t="s">
        <v>612</v>
      </c>
      <c r="G16" s="31">
        <v>2</v>
      </c>
      <c r="H16" s="5" t="s">
        <v>600</v>
      </c>
      <c r="I16" s="5"/>
      <c r="J16" s="5" t="s">
        <v>595</v>
      </c>
      <c r="K16" s="5" t="s">
        <v>613</v>
      </c>
    </row>
    <row r="17" spans="1:11">
      <c r="A17" s="7" t="s">
        <v>584</v>
      </c>
      <c r="B17" s="5" t="s">
        <v>614</v>
      </c>
      <c r="C17" s="5" t="s">
        <v>615</v>
      </c>
      <c r="D17" s="5" t="s">
        <v>282</v>
      </c>
      <c r="E17" s="5" t="s">
        <v>539</v>
      </c>
      <c r="F17" s="5" t="s">
        <v>547</v>
      </c>
      <c r="G17" s="31">
        <v>1</v>
      </c>
      <c r="H17" s="5" t="s">
        <v>616</v>
      </c>
      <c r="I17" s="5"/>
      <c r="J17" s="5" t="s">
        <v>617</v>
      </c>
      <c r="K17" s="5" t="s">
        <v>618</v>
      </c>
    </row>
    <row r="18" spans="1:11">
      <c r="A18" s="7" t="s">
        <v>584</v>
      </c>
      <c r="B18" s="5" t="s">
        <v>619</v>
      </c>
      <c r="C18" s="5" t="s">
        <v>620</v>
      </c>
      <c r="D18" s="5" t="s">
        <v>282</v>
      </c>
      <c r="E18" s="5" t="s">
        <v>539</v>
      </c>
      <c r="F18" s="5" t="s">
        <v>621</v>
      </c>
      <c r="G18" s="31">
        <v>0</v>
      </c>
      <c r="H18" s="5" t="s">
        <v>622</v>
      </c>
      <c r="I18" s="5"/>
      <c r="J18" s="5" t="s">
        <v>316</v>
      </c>
      <c r="K18" s="5" t="s">
        <v>623</v>
      </c>
    </row>
    <row r="19" spans="1:11">
      <c r="A19" s="7" t="s">
        <v>584</v>
      </c>
      <c r="B19" s="5" t="s">
        <v>624</v>
      </c>
      <c r="C19" s="5" t="s">
        <v>625</v>
      </c>
      <c r="D19" s="5" t="s">
        <v>355</v>
      </c>
      <c r="E19" s="5" t="s">
        <v>578</v>
      </c>
      <c r="F19" s="5" t="s">
        <v>626</v>
      </c>
      <c r="G19" s="31">
        <v>2</v>
      </c>
      <c r="H19" s="5" t="s">
        <v>627</v>
      </c>
      <c r="I19" s="5"/>
      <c r="J19" s="5" t="s">
        <v>595</v>
      </c>
      <c r="K19" s="5" t="s">
        <v>628</v>
      </c>
    </row>
    <row r="20" spans="1:11">
      <c r="A20" s="7" t="s">
        <v>584</v>
      </c>
      <c r="B20" s="5" t="s">
        <v>629</v>
      </c>
      <c r="C20" s="5" t="s">
        <v>630</v>
      </c>
      <c r="D20" s="5" t="s">
        <v>355</v>
      </c>
      <c r="E20" s="5" t="s">
        <v>578</v>
      </c>
      <c r="F20" s="5" t="s">
        <v>547</v>
      </c>
      <c r="G20" s="31">
        <v>1</v>
      </c>
      <c r="H20" s="5" t="s">
        <v>600</v>
      </c>
      <c r="I20" s="8" t="s">
        <v>601</v>
      </c>
      <c r="J20" s="5" t="s">
        <v>602</v>
      </c>
      <c r="K20" s="5" t="s">
        <v>631</v>
      </c>
    </row>
    <row r="21" spans="1:11">
      <c r="A21" s="7" t="s">
        <v>632</v>
      </c>
      <c r="B21" s="5" t="s">
        <v>633</v>
      </c>
      <c r="C21" s="5" t="s">
        <v>634</v>
      </c>
      <c r="D21" s="5" t="s">
        <v>282</v>
      </c>
      <c r="E21" s="5" t="s">
        <v>539</v>
      </c>
      <c r="F21" s="5" t="s">
        <v>635</v>
      </c>
      <c r="G21" s="31">
        <v>3</v>
      </c>
      <c r="H21" s="5" t="s">
        <v>636</v>
      </c>
      <c r="I21" s="8" t="s">
        <v>413</v>
      </c>
      <c r="J21" s="5" t="s">
        <v>637</v>
      </c>
      <c r="K21" s="5" t="s">
        <v>638</v>
      </c>
    </row>
    <row r="22" spans="1:11">
      <c r="A22" s="7" t="s">
        <v>632</v>
      </c>
      <c r="B22" s="5" t="s">
        <v>639</v>
      </c>
      <c r="C22" s="5" t="s">
        <v>640</v>
      </c>
      <c r="D22" s="5" t="s">
        <v>282</v>
      </c>
      <c r="E22" s="5" t="s">
        <v>539</v>
      </c>
      <c r="F22" s="5" t="s">
        <v>641</v>
      </c>
      <c r="G22" s="31">
        <v>2</v>
      </c>
      <c r="H22" s="5" t="s">
        <v>642</v>
      </c>
      <c r="I22" s="8" t="s">
        <v>643</v>
      </c>
      <c r="J22" s="5" t="s">
        <v>644</v>
      </c>
      <c r="K22" s="5" t="s">
        <v>645</v>
      </c>
    </row>
    <row r="23" spans="1:11">
      <c r="A23" s="7" t="s">
        <v>632</v>
      </c>
      <c r="B23" s="5" t="s">
        <v>646</v>
      </c>
      <c r="C23" s="5" t="s">
        <v>647</v>
      </c>
      <c r="D23" s="5" t="s">
        <v>282</v>
      </c>
      <c r="E23" s="5" t="s">
        <v>539</v>
      </c>
      <c r="F23" s="5" t="s">
        <v>648</v>
      </c>
      <c r="G23" s="31">
        <v>2</v>
      </c>
      <c r="H23" s="5" t="s">
        <v>649</v>
      </c>
      <c r="I23" s="8" t="s">
        <v>650</v>
      </c>
      <c r="J23" s="5" t="s">
        <v>651</v>
      </c>
      <c r="K23" s="5" t="s">
        <v>652</v>
      </c>
    </row>
    <row r="24" spans="1:11">
      <c r="A24" s="7" t="s">
        <v>632</v>
      </c>
      <c r="B24" s="5" t="s">
        <v>653</v>
      </c>
      <c r="C24" s="5" t="s">
        <v>654</v>
      </c>
      <c r="D24" s="5" t="s">
        <v>282</v>
      </c>
      <c r="E24" s="5" t="s">
        <v>539</v>
      </c>
      <c r="F24" s="5" t="s">
        <v>655</v>
      </c>
      <c r="G24" s="31">
        <v>2</v>
      </c>
      <c r="H24" s="5" t="s">
        <v>656</v>
      </c>
      <c r="I24" s="5"/>
      <c r="J24" s="5" t="s">
        <v>657</v>
      </c>
      <c r="K24" s="5" t="s">
        <v>658</v>
      </c>
    </row>
    <row r="25" spans="1:11">
      <c r="A25" s="7" t="s">
        <v>632</v>
      </c>
      <c r="B25" s="5" t="s">
        <v>659</v>
      </c>
      <c r="C25" s="5" t="s">
        <v>660</v>
      </c>
      <c r="D25" s="5" t="s">
        <v>461</v>
      </c>
      <c r="E25" s="5" t="s">
        <v>578</v>
      </c>
      <c r="F25" s="5" t="s">
        <v>661</v>
      </c>
      <c r="G25" s="31">
        <v>1</v>
      </c>
      <c r="H25" s="5" t="s">
        <v>662</v>
      </c>
      <c r="I25" s="5"/>
      <c r="J25" s="5" t="s">
        <v>316</v>
      </c>
      <c r="K25" s="5" t="s">
        <v>663</v>
      </c>
    </row>
    <row r="26" spans="1:11">
      <c r="A26" s="7" t="s">
        <v>664</v>
      </c>
      <c r="B26" s="5" t="s">
        <v>665</v>
      </c>
      <c r="C26" s="5" t="s">
        <v>666</v>
      </c>
      <c r="D26" s="5" t="s">
        <v>282</v>
      </c>
      <c r="E26" s="5" t="s">
        <v>539</v>
      </c>
      <c r="F26" s="5" t="s">
        <v>667</v>
      </c>
      <c r="G26" s="31">
        <v>2</v>
      </c>
      <c r="H26" s="5" t="s">
        <v>316</v>
      </c>
      <c r="I26" s="5"/>
      <c r="J26" s="5" t="s">
        <v>668</v>
      </c>
      <c r="K26" s="5" t="s">
        <v>669</v>
      </c>
    </row>
    <row r="27" spans="1:11">
      <c r="A27" s="7" t="s">
        <v>664</v>
      </c>
      <c r="B27" s="5" t="s">
        <v>670</v>
      </c>
      <c r="C27" s="5" t="s">
        <v>671</v>
      </c>
      <c r="D27" s="5" t="s">
        <v>672</v>
      </c>
      <c r="E27" s="5" t="s">
        <v>539</v>
      </c>
      <c r="F27" s="5" t="s">
        <v>547</v>
      </c>
      <c r="G27" s="31">
        <v>1</v>
      </c>
      <c r="H27" s="5" t="s">
        <v>673</v>
      </c>
      <c r="I27" s="8" t="s">
        <v>397</v>
      </c>
      <c r="J27" s="5" t="s">
        <v>316</v>
      </c>
      <c r="K27" s="5" t="s">
        <v>674</v>
      </c>
    </row>
    <row r="28" spans="1:11">
      <c r="A28" s="7" t="s">
        <v>664</v>
      </c>
      <c r="B28" s="5" t="s">
        <v>675</v>
      </c>
      <c r="C28" s="5" t="s">
        <v>676</v>
      </c>
      <c r="D28" s="5" t="s">
        <v>677</v>
      </c>
      <c r="E28" s="5" t="s">
        <v>578</v>
      </c>
      <c r="F28" s="5" t="s">
        <v>678</v>
      </c>
      <c r="G28" s="31">
        <v>2</v>
      </c>
      <c r="H28" s="5" t="s">
        <v>679</v>
      </c>
      <c r="I28" s="8" t="s">
        <v>286</v>
      </c>
      <c r="J28" s="5" t="s">
        <v>680</v>
      </c>
      <c r="K28" s="5" t="s">
        <v>681</v>
      </c>
    </row>
    <row r="29" spans="1:11">
      <c r="A29" s="7" t="s">
        <v>664</v>
      </c>
      <c r="B29" s="5" t="s">
        <v>682</v>
      </c>
      <c r="C29" s="5" t="s">
        <v>683</v>
      </c>
      <c r="D29" s="5" t="s">
        <v>684</v>
      </c>
      <c r="E29" s="5" t="s">
        <v>578</v>
      </c>
      <c r="F29" s="5" t="s">
        <v>685</v>
      </c>
      <c r="G29" s="31">
        <v>2</v>
      </c>
      <c r="H29" s="5" t="s">
        <v>686</v>
      </c>
      <c r="I29" s="8" t="s">
        <v>397</v>
      </c>
      <c r="J29" s="5" t="s">
        <v>316</v>
      </c>
      <c r="K29" s="5" t="s">
        <v>687</v>
      </c>
    </row>
    <row r="30" spans="1:11">
      <c r="A30" s="7" t="s">
        <v>664</v>
      </c>
      <c r="B30" s="5" t="s">
        <v>688</v>
      </c>
      <c r="C30" s="5" t="s">
        <v>689</v>
      </c>
      <c r="D30" s="5" t="s">
        <v>690</v>
      </c>
      <c r="E30" s="5" t="s">
        <v>578</v>
      </c>
      <c r="F30" s="5" t="s">
        <v>691</v>
      </c>
      <c r="G30" s="31">
        <v>0</v>
      </c>
      <c r="H30" s="5" t="s">
        <v>692</v>
      </c>
      <c r="I30" s="8" t="s">
        <v>286</v>
      </c>
      <c r="J30" s="5" t="s">
        <v>693</v>
      </c>
      <c r="K30" s="5" t="s">
        <v>694</v>
      </c>
    </row>
    <row r="31" spans="1:11">
      <c r="A31" s="7" t="s">
        <v>695</v>
      </c>
      <c r="B31" s="5" t="s">
        <v>696</v>
      </c>
      <c r="C31" s="5" t="s">
        <v>697</v>
      </c>
      <c r="D31" s="5" t="s">
        <v>355</v>
      </c>
      <c r="E31" s="5" t="s">
        <v>578</v>
      </c>
      <c r="F31" s="5" t="s">
        <v>698</v>
      </c>
      <c r="G31" s="31">
        <v>2</v>
      </c>
      <c r="H31" s="5" t="s">
        <v>699</v>
      </c>
      <c r="I31" s="8" t="s">
        <v>325</v>
      </c>
      <c r="J31" s="5" t="s">
        <v>595</v>
      </c>
      <c r="K31" s="5" t="s">
        <v>700</v>
      </c>
    </row>
    <row r="32" spans="1:11">
      <c r="A32" s="7" t="s">
        <v>695</v>
      </c>
      <c r="B32" s="5" t="s">
        <v>701</v>
      </c>
      <c r="C32" s="5" t="s">
        <v>702</v>
      </c>
      <c r="D32" s="5" t="s">
        <v>355</v>
      </c>
      <c r="E32" s="5" t="s">
        <v>578</v>
      </c>
      <c r="F32" s="5" t="s">
        <v>703</v>
      </c>
      <c r="G32" s="31">
        <v>1</v>
      </c>
      <c r="H32" s="5" t="s">
        <v>704</v>
      </c>
      <c r="I32" s="8" t="s">
        <v>325</v>
      </c>
      <c r="J32" s="5" t="s">
        <v>617</v>
      </c>
      <c r="K32" s="5" t="s">
        <v>705</v>
      </c>
    </row>
    <row r="33" spans="1:11">
      <c r="A33" s="7" t="s">
        <v>695</v>
      </c>
      <c r="B33" s="5" t="s">
        <v>706</v>
      </c>
      <c r="C33" s="5" t="s">
        <v>707</v>
      </c>
      <c r="D33" s="5" t="s">
        <v>355</v>
      </c>
      <c r="E33" s="5" t="s">
        <v>578</v>
      </c>
      <c r="F33" s="5" t="s">
        <v>547</v>
      </c>
      <c r="G33" s="31">
        <v>1</v>
      </c>
      <c r="H33" s="5" t="s">
        <v>708</v>
      </c>
      <c r="I33" s="8" t="s">
        <v>397</v>
      </c>
      <c r="J33" s="5" t="s">
        <v>316</v>
      </c>
      <c r="K33" s="5" t="s">
        <v>709</v>
      </c>
    </row>
    <row r="34" spans="1:11">
      <c r="A34" s="7" t="s">
        <v>14</v>
      </c>
      <c r="B34" s="5" t="s">
        <v>710</v>
      </c>
      <c r="C34" s="5" t="s">
        <v>711</v>
      </c>
      <c r="D34" s="5" t="s">
        <v>672</v>
      </c>
      <c r="E34" s="5" t="s">
        <v>578</v>
      </c>
      <c r="F34" s="5" t="s">
        <v>712</v>
      </c>
      <c r="G34" s="31">
        <v>1</v>
      </c>
      <c r="H34" s="5" t="s">
        <v>713</v>
      </c>
      <c r="I34" s="8" t="s">
        <v>714</v>
      </c>
      <c r="J34" s="5" t="s">
        <v>715</v>
      </c>
      <c r="K34" s="5" t="s">
        <v>716</v>
      </c>
    </row>
    <row r="35" spans="1:11">
      <c r="A35" s="7" t="s">
        <v>14</v>
      </c>
      <c r="B35" s="5" t="s">
        <v>717</v>
      </c>
      <c r="C35" s="5" t="s">
        <v>718</v>
      </c>
      <c r="D35" s="5" t="s">
        <v>719</v>
      </c>
      <c r="E35" s="5" t="s">
        <v>578</v>
      </c>
      <c r="F35" s="5" t="s">
        <v>547</v>
      </c>
      <c r="G35" s="31">
        <v>1</v>
      </c>
      <c r="H35" s="5" t="s">
        <v>720</v>
      </c>
      <c r="I35" s="5"/>
      <c r="J35" s="5" t="s">
        <v>721</v>
      </c>
      <c r="K35" s="5" t="s">
        <v>722</v>
      </c>
    </row>
    <row r="36" spans="1:11">
      <c r="A36" s="7" t="s">
        <v>14</v>
      </c>
      <c r="B36" s="5" t="s">
        <v>723</v>
      </c>
      <c r="C36" s="5" t="s">
        <v>724</v>
      </c>
      <c r="D36" s="5" t="s">
        <v>725</v>
      </c>
      <c r="E36" s="5" t="s">
        <v>578</v>
      </c>
      <c r="F36" s="5" t="s">
        <v>726</v>
      </c>
      <c r="G36" s="31">
        <v>1</v>
      </c>
      <c r="H36" s="5" t="s">
        <v>727</v>
      </c>
      <c r="I36" s="8" t="s">
        <v>286</v>
      </c>
      <c r="J36" s="5" t="s">
        <v>721</v>
      </c>
      <c r="K36" s="5" t="s">
        <v>728</v>
      </c>
    </row>
    <row r="37" spans="1:11">
      <c r="A37" s="7" t="s">
        <v>729</v>
      </c>
      <c r="B37" s="5" t="s">
        <v>730</v>
      </c>
      <c r="C37" s="5" t="s">
        <v>731</v>
      </c>
      <c r="D37" s="5" t="s">
        <v>732</v>
      </c>
      <c r="E37" s="5" t="s">
        <v>539</v>
      </c>
      <c r="F37" s="5" t="s">
        <v>733</v>
      </c>
      <c r="G37" s="31">
        <v>1</v>
      </c>
      <c r="H37" s="5" t="s">
        <v>734</v>
      </c>
      <c r="I37" s="8" t="s">
        <v>735</v>
      </c>
      <c r="J37" s="5" t="s">
        <v>736</v>
      </c>
      <c r="K37" s="5" t="s">
        <v>737</v>
      </c>
    </row>
    <row r="38" spans="1:11">
      <c r="A38" s="7" t="s">
        <v>729</v>
      </c>
      <c r="B38" s="5" t="s">
        <v>738</v>
      </c>
      <c r="C38" s="5" t="s">
        <v>739</v>
      </c>
      <c r="D38" s="5" t="s">
        <v>740</v>
      </c>
      <c r="E38" s="5" t="s">
        <v>539</v>
      </c>
      <c r="F38" s="5" t="s">
        <v>547</v>
      </c>
      <c r="G38" s="31">
        <v>0</v>
      </c>
      <c r="H38" s="5" t="s">
        <v>741</v>
      </c>
      <c r="I38" s="5"/>
      <c r="J38" s="5" t="s">
        <v>742</v>
      </c>
      <c r="K38" s="5" t="s">
        <v>743</v>
      </c>
    </row>
    <row r="39" spans="1:11">
      <c r="A39" s="7" t="s">
        <v>744</v>
      </c>
      <c r="B39" s="5" t="s">
        <v>745</v>
      </c>
      <c r="C39" s="5" t="s">
        <v>746</v>
      </c>
      <c r="D39" s="5" t="s">
        <v>747</v>
      </c>
      <c r="E39" s="5" t="s">
        <v>578</v>
      </c>
      <c r="F39" s="5" t="s">
        <v>748</v>
      </c>
      <c r="G39" s="31">
        <v>1</v>
      </c>
      <c r="H39" s="5" t="s">
        <v>749</v>
      </c>
      <c r="I39" s="8" t="s">
        <v>750</v>
      </c>
      <c r="J39" s="5" t="s">
        <v>549</v>
      </c>
      <c r="K39" s="5" t="s">
        <v>751</v>
      </c>
    </row>
    <row r="40" spans="1:11">
      <c r="A40" s="7" t="s">
        <v>744</v>
      </c>
      <c r="B40" s="5" t="s">
        <v>752</v>
      </c>
      <c r="C40" s="5" t="s">
        <v>753</v>
      </c>
      <c r="D40" s="5" t="s">
        <v>282</v>
      </c>
      <c r="E40" s="5" t="s">
        <v>539</v>
      </c>
      <c r="F40" s="5" t="s">
        <v>754</v>
      </c>
      <c r="G40" s="31">
        <v>3</v>
      </c>
      <c r="H40" s="5" t="s">
        <v>755</v>
      </c>
      <c r="I40" s="8" t="s">
        <v>325</v>
      </c>
      <c r="J40" s="5" t="s">
        <v>316</v>
      </c>
      <c r="K40" s="5" t="s">
        <v>756</v>
      </c>
    </row>
    <row r="41" spans="1:11">
      <c r="A41" s="7" t="s">
        <v>744</v>
      </c>
      <c r="B41" s="5" t="s">
        <v>757</v>
      </c>
      <c r="C41" s="5" t="s">
        <v>758</v>
      </c>
      <c r="D41" s="5" t="s">
        <v>759</v>
      </c>
      <c r="E41" s="5" t="s">
        <v>539</v>
      </c>
      <c r="F41" s="5" t="s">
        <v>760</v>
      </c>
      <c r="G41" s="31">
        <v>2</v>
      </c>
      <c r="H41" s="5" t="s">
        <v>316</v>
      </c>
      <c r="I41" s="5"/>
      <c r="J41" s="5" t="s">
        <v>595</v>
      </c>
      <c r="K41" s="5" t="s">
        <v>761</v>
      </c>
    </row>
    <row r="42" spans="1:11">
      <c r="A42" s="7" t="s">
        <v>762</v>
      </c>
      <c r="B42" s="5" t="s">
        <v>763</v>
      </c>
      <c r="C42" s="5" t="s">
        <v>764</v>
      </c>
      <c r="D42" s="5" t="s">
        <v>765</v>
      </c>
      <c r="E42" s="5" t="s">
        <v>766</v>
      </c>
      <c r="F42" s="5" t="s">
        <v>767</v>
      </c>
      <c r="G42" s="31">
        <v>2</v>
      </c>
      <c r="H42" s="5" t="s">
        <v>768</v>
      </c>
      <c r="I42" s="8" t="s">
        <v>769</v>
      </c>
      <c r="J42" s="5" t="s">
        <v>770</v>
      </c>
      <c r="K42" s="5" t="s">
        <v>771</v>
      </c>
    </row>
    <row r="43" spans="1:11">
      <c r="A43" s="7" t="s">
        <v>762</v>
      </c>
      <c r="B43" s="5" t="s">
        <v>772</v>
      </c>
      <c r="C43" s="5" t="s">
        <v>773</v>
      </c>
      <c r="D43" s="5" t="s">
        <v>765</v>
      </c>
      <c r="E43" s="5" t="s">
        <v>766</v>
      </c>
      <c r="F43" s="5" t="s">
        <v>774</v>
      </c>
      <c r="G43" s="31">
        <v>3</v>
      </c>
      <c r="H43" s="5" t="s">
        <v>775</v>
      </c>
      <c r="I43" s="8" t="s">
        <v>650</v>
      </c>
      <c r="J43" s="5" t="s">
        <v>595</v>
      </c>
      <c r="K43" s="5" t="s">
        <v>316</v>
      </c>
    </row>
    <row r="44" spans="1:11">
      <c r="A44" s="7" t="s">
        <v>762</v>
      </c>
      <c r="B44" s="5" t="s">
        <v>776</v>
      </c>
      <c r="C44" s="5" t="s">
        <v>777</v>
      </c>
      <c r="D44" s="5" t="s">
        <v>765</v>
      </c>
      <c r="E44" s="5" t="s">
        <v>766</v>
      </c>
      <c r="F44" s="5" t="s">
        <v>547</v>
      </c>
      <c r="G44" s="31">
        <v>1</v>
      </c>
      <c r="H44" s="5" t="s">
        <v>778</v>
      </c>
      <c r="I44" s="8" t="s">
        <v>325</v>
      </c>
      <c r="J44" s="5" t="s">
        <v>316</v>
      </c>
      <c r="K44" s="5" t="s">
        <v>779</v>
      </c>
    </row>
    <row r="45" spans="1:11">
      <c r="A45" s="7" t="s">
        <v>762</v>
      </c>
      <c r="B45" s="5" t="s">
        <v>780</v>
      </c>
      <c r="C45" s="5" t="s">
        <v>781</v>
      </c>
      <c r="D45" s="5" t="s">
        <v>765</v>
      </c>
      <c r="E45" s="5" t="s">
        <v>766</v>
      </c>
      <c r="F45" s="5" t="s">
        <v>547</v>
      </c>
      <c r="G45" s="31">
        <v>1</v>
      </c>
      <c r="H45" s="5" t="s">
        <v>782</v>
      </c>
      <c r="I45" s="8" t="s">
        <v>783</v>
      </c>
      <c r="J45" s="5" t="s">
        <v>784</v>
      </c>
      <c r="K45" s="5" t="s">
        <v>785</v>
      </c>
    </row>
    <row r="46" spans="1:11">
      <c r="A46" s="7" t="s">
        <v>762</v>
      </c>
      <c r="B46" s="5" t="s">
        <v>786</v>
      </c>
      <c r="C46" s="5" t="s">
        <v>787</v>
      </c>
      <c r="D46" s="5" t="s">
        <v>765</v>
      </c>
      <c r="E46" s="5" t="s">
        <v>766</v>
      </c>
      <c r="F46" s="5" t="s">
        <v>788</v>
      </c>
      <c r="G46" s="31">
        <v>1</v>
      </c>
      <c r="H46" s="5" t="s">
        <v>789</v>
      </c>
      <c r="I46" s="8" t="s">
        <v>790</v>
      </c>
      <c r="J46" s="5" t="s">
        <v>549</v>
      </c>
      <c r="K46" s="5" t="s">
        <v>316</v>
      </c>
    </row>
    <row r="47" spans="1:11">
      <c r="A47" s="7" t="s">
        <v>762</v>
      </c>
      <c r="B47" s="5" t="s">
        <v>791</v>
      </c>
      <c r="C47" s="5" t="s">
        <v>792</v>
      </c>
      <c r="D47" s="5" t="s">
        <v>765</v>
      </c>
      <c r="E47" s="5" t="s">
        <v>766</v>
      </c>
      <c r="F47" s="5" t="s">
        <v>793</v>
      </c>
      <c r="G47" s="31">
        <v>1</v>
      </c>
      <c r="H47" s="5" t="s">
        <v>794</v>
      </c>
      <c r="I47" s="8" t="s">
        <v>795</v>
      </c>
      <c r="J47" s="5" t="s">
        <v>796</v>
      </c>
      <c r="K47" s="5" t="s">
        <v>797</v>
      </c>
    </row>
    <row r="48" spans="1:11">
      <c r="A48" s="7" t="s">
        <v>762</v>
      </c>
      <c r="B48" s="5" t="s">
        <v>798</v>
      </c>
      <c r="C48" s="5" t="s">
        <v>799</v>
      </c>
      <c r="D48" s="5" t="s">
        <v>765</v>
      </c>
      <c r="E48" s="5" t="s">
        <v>766</v>
      </c>
      <c r="F48" s="5" t="s">
        <v>547</v>
      </c>
      <c r="G48" s="31">
        <v>1</v>
      </c>
      <c r="H48" s="5" t="s">
        <v>800</v>
      </c>
      <c r="I48" s="8" t="s">
        <v>801</v>
      </c>
      <c r="J48" s="5" t="s">
        <v>796</v>
      </c>
      <c r="K48" s="5" t="s">
        <v>802</v>
      </c>
    </row>
    <row r="49" spans="1:11">
      <c r="A49" s="7" t="s">
        <v>803</v>
      </c>
      <c r="B49" s="5" t="s">
        <v>804</v>
      </c>
      <c r="C49" s="5" t="s">
        <v>805</v>
      </c>
      <c r="D49" s="5" t="s">
        <v>806</v>
      </c>
      <c r="E49" s="5" t="s">
        <v>766</v>
      </c>
      <c r="F49" s="5" t="s">
        <v>547</v>
      </c>
      <c r="G49" s="31">
        <v>2</v>
      </c>
      <c r="H49" s="5" t="s">
        <v>807</v>
      </c>
      <c r="I49" s="8" t="s">
        <v>808</v>
      </c>
      <c r="J49" s="5" t="s">
        <v>721</v>
      </c>
      <c r="K49" s="5" t="s">
        <v>809</v>
      </c>
    </row>
    <row r="50" spans="1:11">
      <c r="A50" s="7" t="s">
        <v>810</v>
      </c>
      <c r="B50" s="5" t="s">
        <v>811</v>
      </c>
      <c r="C50" s="5" t="s">
        <v>812</v>
      </c>
      <c r="D50" s="5" t="s">
        <v>288</v>
      </c>
      <c r="E50" s="5" t="s">
        <v>766</v>
      </c>
      <c r="F50" s="5" t="s">
        <v>813</v>
      </c>
      <c r="G50" s="31">
        <v>1</v>
      </c>
      <c r="H50" s="5" t="s">
        <v>814</v>
      </c>
      <c r="I50" s="5"/>
      <c r="J50" s="5" t="s">
        <v>316</v>
      </c>
      <c r="K50" s="5" t="s">
        <v>815</v>
      </c>
    </row>
    <row r="51" spans="1:11">
      <c r="A51" s="7" t="s">
        <v>810</v>
      </c>
      <c r="B51" s="5" t="s">
        <v>816</v>
      </c>
      <c r="C51" s="5" t="s">
        <v>817</v>
      </c>
      <c r="D51" s="5" t="s">
        <v>288</v>
      </c>
      <c r="E51" s="5" t="s">
        <v>766</v>
      </c>
      <c r="F51" s="5" t="s">
        <v>818</v>
      </c>
      <c r="G51" s="31">
        <v>2</v>
      </c>
      <c r="H51" s="5" t="s">
        <v>819</v>
      </c>
      <c r="I51" s="8" t="s">
        <v>820</v>
      </c>
      <c r="J51" s="5" t="s">
        <v>821</v>
      </c>
      <c r="K51" s="5" t="s">
        <v>822</v>
      </c>
    </row>
    <row r="52" spans="1:11">
      <c r="A52" s="7" t="s">
        <v>823</v>
      </c>
      <c r="B52" s="5" t="s">
        <v>824</v>
      </c>
      <c r="C52" s="5" t="s">
        <v>825</v>
      </c>
      <c r="D52" s="5" t="s">
        <v>826</v>
      </c>
      <c r="E52" s="5" t="s">
        <v>766</v>
      </c>
      <c r="F52" s="5" t="s">
        <v>827</v>
      </c>
      <c r="G52" s="31">
        <v>1</v>
      </c>
      <c r="H52" s="5" t="s">
        <v>828</v>
      </c>
      <c r="I52" s="8" t="s">
        <v>829</v>
      </c>
      <c r="J52" s="5" t="s">
        <v>316</v>
      </c>
      <c r="K52" s="5" t="s">
        <v>316</v>
      </c>
    </row>
  </sheetData>
  <autoFilter ref="A4:K52"/>
  <conditionalFormatting sqref="G5:G52">
    <cfRule type="colorScale" priority="1">
      <colorScale>
        <cfvo type="num" val="0"/>
        <cfvo type="num" val="1.5"/>
        <cfvo type="num" val="3"/>
        <color rgb="FFF8696B"/>
        <color rgb="FFFFEB84"/>
        <color rgb="FF63BE7B"/>
      </colorScale>
    </cfRule>
  </conditionalFormatting>
  <dataValidations count="1">
    <dataValidation type="list" allowBlank="1" showInputMessage="1" showErrorMessage="1" sqref="G5:G52">
      <formula1>"0,1,2,3"</formula1>
    </dataValidation>
  </dataValidations>
  <hyperlinks>
    <hyperlink ref="I5" r:id="rId1"/>
    <hyperlink ref="I6" r:id="rId2"/>
    <hyperlink ref="I7" r:id="rId3"/>
    <hyperlink ref="I8" r:id="rId4"/>
    <hyperlink ref="I9" r:id="rId5"/>
    <hyperlink ref="I11" r:id="rId6"/>
    <hyperlink ref="I12" r:id="rId7"/>
    <hyperlink ref="I14" r:id="rId8"/>
    <hyperlink ref="I15" r:id="rId9"/>
    <hyperlink ref="I20" r:id="rId10"/>
    <hyperlink ref="I21" r:id="rId11"/>
    <hyperlink ref="I22" r:id="rId12"/>
    <hyperlink ref="I23" r:id="rId13"/>
    <hyperlink ref="I27" r:id="rId14"/>
    <hyperlink ref="I28" r:id="rId15"/>
    <hyperlink ref="I29" r:id="rId16"/>
    <hyperlink ref="I30" r:id="rId17"/>
    <hyperlink ref="I31" r:id="rId18"/>
    <hyperlink ref="I32" r:id="rId19"/>
    <hyperlink ref="I33" r:id="rId20"/>
    <hyperlink ref="I34" r:id="rId21"/>
    <hyperlink ref="I36" r:id="rId22"/>
    <hyperlink ref="I37" r:id="rId23"/>
    <hyperlink ref="I39" r:id="rId24"/>
    <hyperlink ref="I40" r:id="rId25"/>
    <hyperlink ref="I42" r:id="rId26"/>
    <hyperlink ref="I43" r:id="rId27"/>
    <hyperlink ref="I44" r:id="rId28"/>
    <hyperlink ref="I45" r:id="rId29"/>
    <hyperlink ref="I46" r:id="rId30"/>
    <hyperlink ref="I47" r:id="rId31"/>
    <hyperlink ref="I48" r:id="rId32"/>
    <hyperlink ref="I49" r:id="rId33"/>
    <hyperlink ref="I51" r:id="rId34"/>
    <hyperlink ref="I52" r:id="rId35"/>
  </hyperlink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Lisez-moi</vt:lpstr>
      <vt:lpstr>Synthèse</vt:lpstr>
      <vt:lpstr>Cultures</vt:lpstr>
      <vt:lpstr>Paramètres</vt:lpstr>
      <vt:lpstr>Autres données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Inventaire des données pour MAELIA en Guadeloupe</dc:title>
  <dc:creator>MOSAICA</dc:creator>
  <cp:lastModifiedBy>MOSAICA</cp:lastModifiedBy>
  <dcterms:created xsi:type="dcterms:W3CDTF">2026-10-14T12:59:34Z</dcterms:created>
  <dcterms:modified xsi:type="dcterms:W3CDTF">2026-10-14T12:59:34Z</dcterms:modified>
</cp:coreProperties>
</file>