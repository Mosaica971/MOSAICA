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nombre_exploitations_par_type" sheetId="1" state="visible" r:id="rId3"/>
    <sheet name="surface_par_culture_fine" sheetId="2" state="visible" r:id="rId4"/>
    <sheet name="surface_fine_par_sous_reg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<sst xmlns="http://schemas.openxmlformats.org/spreadsheetml/2006/main" count="265" uniqueCount="78">
  <si>
    <t xml:space="preserve">Type</t>
  </si>
  <si>
    <t xml:space="preserve">Libellé</t>
  </si>
  <si>
    <t xml:space="preserve">Aversion au risque</t>
  </si>
  <si>
    <t xml:space="preserve">Référence 2017</t>
  </si>
  <si>
    <t xml:space="preserve">Après calibration</t>
  </si>
  <si>
    <t xml:space="preserve">Écart</t>
  </si>
  <si>
    <t xml:space="preserve">Dont type conservé</t>
  </si>
  <si>
    <t xml:space="preserve">Sans surface cultivée</t>
  </si>
  <si>
    <t xml:space="preserve">0,00</t>
  </si>
  <si>
    <t xml:space="preserve">Fruitiers</t>
  </si>
  <si>
    <t xml:space="preserve">1,30</t>
  </si>
  <si>
    <t xml:space="preserve">Bananiers</t>
  </si>
  <si>
    <t xml:space="preserve">1,20</t>
  </si>
  <si>
    <t xml:space="preserve">Canniers spécialisés</t>
  </si>
  <si>
    <t xml:space="preserve">0,30</t>
  </si>
  <si>
    <t xml:space="preserve">Canniers diversifiés</t>
  </si>
  <si>
    <t xml:space="preserve">0,50 / 1,60</t>
  </si>
  <si>
    <t xml:space="preserve">Diversifiés</t>
  </si>
  <si>
    <t xml:space="preserve">0,55</t>
  </si>
  <si>
    <t xml:space="preserve">Éleveurs</t>
  </si>
  <si>
    <t xml:space="preserve">2,40</t>
  </si>
  <si>
    <t xml:space="preserve">Maraîchers</t>
  </si>
  <si>
    <t xml:space="preserve">Canne et élevage</t>
  </si>
  <si>
    <t xml:space="preserve">2,30</t>
  </si>
  <si>
    <t xml:space="preserve">Total</t>
  </si>
  <si>
    <t xml:space="preserve">Source : outputs/calib_typology_cultivated_area (bloc CALIB de GAMS, farm_typology.method = cultivated_area, tolérance 0,1 %, arrêt sur limite de temps à 0,37 % de la borne : non prouvé optimal).</t>
  </si>
  <si>
    <t xml:space="preserve">Typologie des deux colonnes : parts de cultures sur (cultures + jachère), non cultivé exclu ; une exploitation entièrement en jachère est « Diversifiés ».</t>
  </si>
  <si>
    <t xml:space="preserve">« Dont type conservé » : exploitations qui ont le même type avant et après calibration.</t>
  </si>
  <si>
    <t xml:space="preserve">Culture fine</t>
  </si>
  <si>
    <t xml:space="preserve">Observé 2017 (ha)</t>
  </si>
  <si>
    <t xml:space="preserve">Python calibré (ha)</t>
  </si>
  <si>
    <t xml:space="preserve">GAMS calibré (ha)</t>
  </si>
  <si>
    <t xml:space="preserve">Python − Observé</t>
  </si>
  <si>
    <t xml:space="preserve">Python − GAMS</t>
  </si>
  <si>
    <t xml:space="preserve">AG</t>
  </si>
  <si>
    <t xml:space="preserve">AN_NU</t>
  </si>
  <si>
    <t xml:space="preserve">AN_PA</t>
  </si>
  <si>
    <t xml:space="preserve">BA_INT</t>
  </si>
  <si>
    <t xml:space="preserve">BA_IRR</t>
  </si>
  <si>
    <t xml:space="preserve">BA_PER</t>
  </si>
  <si>
    <t xml:space="preserve">BA_SINT</t>
  </si>
  <si>
    <t xml:space="preserve">BC_BT</t>
  </si>
  <si>
    <t xml:space="preserve">BC_GTMG</t>
  </si>
  <si>
    <t xml:space="preserve">CS_BT_NIM</t>
  </si>
  <si>
    <t xml:space="preserve">CS_BT_NISM</t>
  </si>
  <si>
    <t xml:space="preserve">CS_CGT_NIM</t>
  </si>
  <si>
    <t xml:space="preserve">CS_CGT_NISM</t>
  </si>
  <si>
    <t xml:space="preserve">CS_EGT_NIM</t>
  </si>
  <si>
    <t xml:space="preserve">CS_EGT_NISM</t>
  </si>
  <si>
    <t xml:space="preserve">CS_MG_NISM</t>
  </si>
  <si>
    <t xml:space="preserve">CS_NGT_NIM</t>
  </si>
  <si>
    <t xml:space="preserve">CS_NGT_NISM</t>
  </si>
  <si>
    <t xml:space="preserve">CS_SBT_NIM</t>
  </si>
  <si>
    <t xml:space="preserve">IG_PLA</t>
  </si>
  <si>
    <t xml:space="preserve">IG_TUT</t>
  </si>
  <si>
    <t xml:space="preserve">JA</t>
  </si>
  <si>
    <t xml:space="preserve">MA_ROTA</t>
  </si>
  <si>
    <t xml:space="preserve">MA_TO_CO_JA</t>
  </si>
  <si>
    <t xml:space="preserve">ME</t>
  </si>
  <si>
    <t xml:space="preserve">PN_PIQ</t>
  </si>
  <si>
    <t xml:space="preserve">VE_BTGT</t>
  </si>
  <si>
    <t xml:space="preserve">VE_PLUIE</t>
  </si>
  <si>
    <t xml:space="preserve">Observé 2017 : ITK fin attribué à chaque parcelle par les règles GAMS (identique à l'itération INIT de GAMS).</t>
  </si>
  <si>
    <t xml:space="preserve">GAMS calibré : solution du SOLVE CALIB lue dans RACINE.lst (GAMS 24.7.4, run du 30/09/2026).</t>
  </si>
  <si>
    <t xml:space="preserve">Hors tableau : 2 558,67 ha de non cultivé (NC), figés dans les trois colonnes.</t>
  </si>
  <si>
    <t xml:space="preserve">BASSIN</t>
  </si>
  <si>
    <t xml:space="preserve">TOTAL</t>
  </si>
  <si>
    <t xml:space="preserve">SOBT</t>
  </si>
  <si>
    <t xml:space="preserve">SEBT</t>
  </si>
  <si>
    <t xml:space="preserve">NBT</t>
  </si>
  <si>
    <t xml:space="preserve">MG</t>
  </si>
  <si>
    <t xml:space="preserve">NGT</t>
  </si>
  <si>
    <t xml:space="preserve">CGT</t>
  </si>
  <si>
    <t xml:space="preserve">EGT</t>
  </si>
  <si>
    <t xml:space="preserve">Observé 2017, ITK fin attribué (ha)</t>
  </si>
  <si>
    <t xml:space="preserve">Différence Python − GAMS (ha)</t>
  </si>
  <si>
    <t xml:space="preserve">Différence Python − Observé (ha)</t>
  </si>
  <si>
    <t xml:space="preserve">Bassins : ensembles SR* de GAMS (SETS.txt:614-627) lus par REGION_CODE, comme la feuille « Bassins » du classeur de parité (la commune 97114 y est en NBT, alors que la colonne REGION des parcelles la met en SEBT).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</si>
</sst>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0</v>
      </c>
      <c r="B2" s="2" t="s">
        <v>7</v>
      </c>
      <c r="C2" s="2" t="s">
        <v>8</v>
      </c>
      <c r="D2" s="2" t="n">
        <v>50</v>
      </c>
      <c r="E2" s="2" t="n">
        <v>50</v>
      </c>
      <c r="F2" s="2" t="n">
        <f aca="false">E2-D2</f>
        <v>0</v>
      </c>
      <c r="G2" s="2" t="n">
        <v>50</v>
      </c>
    </row>
    <row r="3" customFormat="false" ht="15" hidden="false" customHeight="false" outlineLevel="0" collapsed="false">
      <c r="A3" s="2" t="n">
        <v>1</v>
      </c>
      <c r="B3" s="2" t="s">
        <v>9</v>
      </c>
      <c r="C3" s="2" t="s">
        <v>10</v>
      </c>
      <c r="D3" s="2" t="n">
        <v>69</v>
      </c>
      <c r="E3" s="2" t="n">
        <v>64</v>
      </c>
      <c r="F3" s="2" t="n">
        <f aca="false">E3-D3</f>
        <v>-5</v>
      </c>
      <c r="G3" s="2" t="n">
        <v>46</v>
      </c>
    </row>
    <row r="4" customFormat="false" ht="15" hidden="false" customHeight="false" outlineLevel="0" collapsed="false">
      <c r="A4" s="2" t="n">
        <v>2</v>
      </c>
      <c r="B4" s="2" t="s">
        <v>11</v>
      </c>
      <c r="C4" s="2" t="s">
        <v>12</v>
      </c>
      <c r="D4" s="2" t="n">
        <v>166</v>
      </c>
      <c r="E4" s="2" t="n">
        <v>157</v>
      </c>
      <c r="F4" s="2" t="n">
        <f aca="false">E4-D4</f>
        <v>-9</v>
      </c>
      <c r="G4" s="2" t="n">
        <v>155</v>
      </c>
    </row>
    <row r="5" customFormat="false" ht="15" hidden="false" customHeight="false" outlineLevel="0" collapsed="false">
      <c r="A5" s="2" t="n">
        <v>3</v>
      </c>
      <c r="B5" s="2" t="s">
        <v>13</v>
      </c>
      <c r="C5" s="2" t="s">
        <v>14</v>
      </c>
      <c r="D5" s="2" t="n">
        <v>1226</v>
      </c>
      <c r="E5" s="2" t="n">
        <v>1344</v>
      </c>
      <c r="F5" s="2" t="n">
        <f aca="false">E5-D5</f>
        <v>118</v>
      </c>
      <c r="G5" s="2" t="n">
        <v>1200</v>
      </c>
    </row>
    <row r="6" customFormat="false" ht="15" hidden="false" customHeight="false" outlineLevel="0" collapsed="false">
      <c r="A6" s="2" t="n">
        <v>4</v>
      </c>
      <c r="B6" s="2" t="s">
        <v>15</v>
      </c>
      <c r="C6" s="2" t="s">
        <v>16</v>
      </c>
      <c r="D6" s="2" t="n">
        <v>935</v>
      </c>
      <c r="E6" s="2" t="n">
        <v>834</v>
      </c>
      <c r="F6" s="2" t="n">
        <f aca="false">E6-D6</f>
        <v>-101</v>
      </c>
      <c r="G6" s="2" t="n">
        <v>736</v>
      </c>
    </row>
    <row r="7" customFormat="false" ht="15" hidden="false" customHeight="false" outlineLevel="0" collapsed="false">
      <c r="A7" s="2" t="n">
        <v>5</v>
      </c>
      <c r="B7" s="2" t="s">
        <v>17</v>
      </c>
      <c r="C7" s="2" t="s">
        <v>18</v>
      </c>
      <c r="D7" s="2" t="n">
        <v>276</v>
      </c>
      <c r="E7" s="2" t="n">
        <v>201</v>
      </c>
      <c r="F7" s="2" t="n">
        <f aca="false">E7-D7</f>
        <v>-75</v>
      </c>
      <c r="G7" s="2" t="n">
        <v>103</v>
      </c>
    </row>
    <row r="8" customFormat="false" ht="15" hidden="false" customHeight="false" outlineLevel="0" collapsed="false">
      <c r="A8" s="2" t="n">
        <v>6</v>
      </c>
      <c r="B8" s="2" t="s">
        <v>19</v>
      </c>
      <c r="C8" s="2" t="s">
        <v>20</v>
      </c>
      <c r="D8" s="2" t="n">
        <v>1037</v>
      </c>
      <c r="E8" s="2" t="n">
        <v>1211</v>
      </c>
      <c r="F8" s="2" t="n">
        <f aca="false">E8-D8</f>
        <v>174</v>
      </c>
      <c r="G8" s="2" t="n">
        <v>1032</v>
      </c>
    </row>
    <row r="9" customFormat="false" ht="15" hidden="false" customHeight="false" outlineLevel="0" collapsed="false">
      <c r="A9" s="2" t="n">
        <v>7</v>
      </c>
      <c r="B9" s="2" t="s">
        <v>21</v>
      </c>
      <c r="C9" s="2" t="s">
        <v>8</v>
      </c>
      <c r="D9" s="2" t="n">
        <v>204</v>
      </c>
      <c r="E9" s="2" t="n">
        <v>248</v>
      </c>
      <c r="F9" s="2" t="n">
        <f aca="false">E9-D9</f>
        <v>44</v>
      </c>
      <c r="G9" s="2" t="n">
        <v>199</v>
      </c>
    </row>
    <row r="10" customFormat="false" ht="15" hidden="false" customHeight="false" outlineLevel="0" collapsed="false">
      <c r="A10" s="2" t="n">
        <v>8</v>
      </c>
      <c r="B10" s="2" t="s">
        <v>22</v>
      </c>
      <c r="C10" s="2" t="s">
        <v>23</v>
      </c>
      <c r="D10" s="2" t="n">
        <v>675</v>
      </c>
      <c r="E10" s="2" t="n">
        <v>529</v>
      </c>
      <c r="F10" s="2" t="n">
        <f aca="false">E10-D10</f>
        <v>-146</v>
      </c>
      <c r="G10" s="2" t="n">
        <v>499</v>
      </c>
    </row>
    <row r="11" customFormat="false" ht="15" hidden="false" customHeight="false" outlineLevel="0" collapsed="false">
      <c r="A11" s="3" t="s">
        <v>24</v>
      </c>
      <c r="B11" s="3"/>
      <c r="C11" s="3"/>
      <c r="D11" s="3" t="n">
        <f aca="false">SUM(D2:D10)</f>
        <v>4638</v>
      </c>
      <c r="E11" s="3" t="n">
        <f aca="false">SUM(E2:E10)</f>
        <v>4638</v>
      </c>
      <c r="F11" s="3" t="n">
        <f aca="false">SUM(F2:F10)</f>
        <v>0</v>
      </c>
      <c r="G11" s="3" t="n">
        <f aca="false">SUM(G2:G10)</f>
        <v>4020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</row>
    <row r="13" customFormat="false" ht="15" hidden="false" customHeight="false" outlineLevel="0" collapsed="false">
      <c r="A13" s="2" t="s">
        <v>25</v>
      </c>
      <c r="B13" s="2"/>
      <c r="C13" s="2"/>
      <c r="D13" s="2"/>
      <c r="E13" s="2"/>
      <c r="F13" s="2"/>
      <c r="G13" s="2"/>
    </row>
    <row r="14" customFormat="false" ht="15" hidden="false" customHeight="false" outlineLevel="0" collapsed="false">
      <c r="A14" s="2" t="s">
        <v>26</v>
      </c>
      <c r="B14" s="2"/>
      <c r="C14" s="2"/>
      <c r="D14" s="2"/>
      <c r="E14" s="2"/>
      <c r="F14" s="2"/>
      <c r="G14" s="2"/>
    </row>
    <row r="15" customFormat="false" ht="15" hidden="false" customHeight="false" outlineLevel="0" collapsed="false">
      <c r="A15" s="2" t="s">
        <v>27</v>
      </c>
      <c r="B15" s="2"/>
      <c r="C15" s="2"/>
      <c r="D15" s="2"/>
      <c r="E15" s="2"/>
      <c r="F15" s="2"/>
      <c r="G1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customFormat="false" ht="15" hidden="false" customHeight="false" outlineLevel="0" collapsed="false">
      <c r="A2" s="2" t="s">
        <v>34</v>
      </c>
      <c r="B2" s="4" t="n">
        <v>100.84</v>
      </c>
      <c r="C2" s="4" t="n">
        <v>65.32</v>
      </c>
      <c r="D2" s="4" t="n">
        <v>106.8</v>
      </c>
      <c r="E2" s="4" t="n">
        <f aca="false">C2-B2</f>
        <v>-35.52</v>
      </c>
      <c r="F2" s="4" t="n">
        <f aca="false">C2-D2</f>
        <v>-41.48</v>
      </c>
    </row>
    <row r="3" customFormat="false" ht="15" hidden="false" customHeight="false" outlineLevel="0" collapsed="false">
      <c r="A3" s="2" t="s">
        <v>35</v>
      </c>
      <c r="B3" s="4" t="n">
        <v>68.65</v>
      </c>
      <c r="C3" s="4" t="n">
        <v>1.83</v>
      </c>
      <c r="D3" s="4" t="n">
        <v>7.44</v>
      </c>
      <c r="E3" s="4" t="n">
        <f aca="false">C3-B3</f>
        <v>-66.82</v>
      </c>
      <c r="F3" s="4" t="n">
        <f aca="false">C3-D3</f>
        <v>-5.61</v>
      </c>
    </row>
    <row r="4" customFormat="false" ht="15" hidden="false" customHeight="false" outlineLevel="0" collapsed="false">
      <c r="A4" s="2" t="s">
        <v>36</v>
      </c>
      <c r="B4" s="4" t="n">
        <v>64.02</v>
      </c>
      <c r="C4" s="4" t="n">
        <v>193.96</v>
      </c>
      <c r="D4" s="4" t="n">
        <v>146.62</v>
      </c>
      <c r="E4" s="4" t="n">
        <f aca="false">C4-B4</f>
        <v>129.94</v>
      </c>
      <c r="F4" s="4" t="n">
        <f aca="false">C4-D4</f>
        <v>47.34</v>
      </c>
    </row>
    <row r="5" customFormat="false" ht="15" hidden="false" customHeight="false" outlineLevel="0" collapsed="false">
      <c r="A5" s="2" t="s">
        <v>37</v>
      </c>
      <c r="B5" s="4" t="n">
        <v>1258.24</v>
      </c>
      <c r="C5" s="4" t="n">
        <v>1159.16</v>
      </c>
      <c r="D5" s="4" t="n">
        <v>1099.56</v>
      </c>
      <c r="E5" s="4" t="n">
        <f aca="false">C5-B5</f>
        <v>-99.0799999999999</v>
      </c>
      <c r="F5" s="4" t="n">
        <f aca="false">C5-D5</f>
        <v>59.6000000000001</v>
      </c>
    </row>
    <row r="6" customFormat="false" ht="15" hidden="false" customHeight="false" outlineLevel="0" collapsed="false">
      <c r="A6" s="2" t="s">
        <v>38</v>
      </c>
      <c r="B6" s="4" t="n">
        <v>169.38</v>
      </c>
      <c r="C6" s="4" t="n">
        <v>110.82</v>
      </c>
      <c r="D6" s="4" t="n">
        <v>94.11</v>
      </c>
      <c r="E6" s="4" t="n">
        <f aca="false">C6-B6</f>
        <v>-58.56</v>
      </c>
      <c r="F6" s="4" t="n">
        <f aca="false">C6-D6</f>
        <v>16.71</v>
      </c>
    </row>
    <row r="7" customFormat="false" ht="15" hidden="false" customHeight="false" outlineLevel="0" collapsed="false">
      <c r="A7" s="2" t="s">
        <v>39</v>
      </c>
      <c r="B7" s="4" t="n">
        <v>288.72</v>
      </c>
      <c r="C7" s="4" t="n">
        <v>330.84</v>
      </c>
      <c r="D7" s="4" t="n">
        <v>308.13</v>
      </c>
      <c r="E7" s="4" t="n">
        <f aca="false">C7-B7</f>
        <v>42.12</v>
      </c>
      <c r="F7" s="4" t="n">
        <f aca="false">C7-D7</f>
        <v>22.71</v>
      </c>
    </row>
    <row r="8" customFormat="false" ht="15" hidden="false" customHeight="false" outlineLevel="0" collapsed="false">
      <c r="A8" s="2" t="s">
        <v>40</v>
      </c>
      <c r="B8" s="4" t="n">
        <v>204.46</v>
      </c>
      <c r="C8" s="4" t="n">
        <v>186.67</v>
      </c>
      <c r="D8" s="4" t="n">
        <v>214.84</v>
      </c>
      <c r="E8" s="4" t="n">
        <f aca="false">C8-B8</f>
        <v>-17.79</v>
      </c>
      <c r="F8" s="4" t="n">
        <f aca="false">C8-D8</f>
        <v>-28.17</v>
      </c>
    </row>
    <row r="9" customFormat="false" ht="15" hidden="false" customHeight="false" outlineLevel="0" collapsed="false">
      <c r="A9" s="2" t="s">
        <v>41</v>
      </c>
      <c r="B9" s="4" t="n">
        <v>116.93</v>
      </c>
      <c r="C9" s="4" t="n">
        <v>95.3</v>
      </c>
      <c r="D9" s="4" t="n">
        <v>107.02</v>
      </c>
      <c r="E9" s="4" t="n">
        <f aca="false">C9-B9</f>
        <v>-21.63</v>
      </c>
      <c r="F9" s="4" t="n">
        <f aca="false">C9-D9</f>
        <v>-11.72</v>
      </c>
    </row>
    <row r="10" customFormat="false" ht="15" hidden="false" customHeight="false" outlineLevel="0" collapsed="false">
      <c r="A10" s="2" t="s">
        <v>42</v>
      </c>
      <c r="B10" s="4" t="n">
        <v>30.28</v>
      </c>
      <c r="C10" s="4" t="n">
        <v>107.5</v>
      </c>
      <c r="D10" s="4" t="n">
        <v>95.82</v>
      </c>
      <c r="E10" s="4" t="n">
        <f aca="false">C10-B10</f>
        <v>77.22</v>
      </c>
      <c r="F10" s="4" t="n">
        <f aca="false">C10-D10</f>
        <v>11.68</v>
      </c>
    </row>
    <row r="11" customFormat="false" ht="15" hidden="false" customHeight="false" outlineLevel="0" collapsed="false">
      <c r="A11" s="2" t="s">
        <v>43</v>
      </c>
      <c r="B11" s="4" t="n">
        <v>3349.18</v>
      </c>
      <c r="C11" s="4" t="n">
        <v>3457.3</v>
      </c>
      <c r="D11" s="4" t="n">
        <v>3495.12</v>
      </c>
      <c r="E11" s="4" t="n">
        <f aca="false">C11-B11</f>
        <v>108.12</v>
      </c>
      <c r="F11" s="4" t="n">
        <f aca="false">C11-D11</f>
        <v>-37.8199999999997</v>
      </c>
    </row>
    <row r="12" customFormat="false" ht="15" hidden="false" customHeight="false" outlineLevel="0" collapsed="false">
      <c r="A12" s="2" t="s">
        <v>44</v>
      </c>
      <c r="B12" s="4" t="n">
        <v>12.27</v>
      </c>
      <c r="C12" s="4" t="n">
        <v>4.21</v>
      </c>
      <c r="D12" s="4" t="n">
        <v>5.17</v>
      </c>
      <c r="E12" s="4" t="n">
        <f aca="false">C12-B12</f>
        <v>-8.06</v>
      </c>
      <c r="F12" s="4" t="n">
        <f aca="false">C12-D12</f>
        <v>-0.96</v>
      </c>
    </row>
    <row r="13" customFormat="false" ht="15" hidden="false" customHeight="false" outlineLevel="0" collapsed="false">
      <c r="A13" s="2" t="s">
        <v>45</v>
      </c>
      <c r="B13" s="4" t="n">
        <v>773.71</v>
      </c>
      <c r="C13" s="4" t="n">
        <v>804.54</v>
      </c>
      <c r="D13" s="4" t="n">
        <v>800.38</v>
      </c>
      <c r="E13" s="4" t="n">
        <f aca="false">C13-B13</f>
        <v>30.8299999999999</v>
      </c>
      <c r="F13" s="4" t="n">
        <f aca="false">C13-D13</f>
        <v>4.15999999999997</v>
      </c>
    </row>
    <row r="14" customFormat="false" ht="15" hidden="false" customHeight="false" outlineLevel="0" collapsed="false">
      <c r="A14" s="2" t="s">
        <v>46</v>
      </c>
      <c r="B14" s="4" t="n">
        <v>2.09</v>
      </c>
      <c r="C14" s="4" t="n">
        <v>3.43</v>
      </c>
      <c r="D14" s="4" t="n">
        <v>3.87</v>
      </c>
      <c r="E14" s="4" t="n">
        <f aca="false">C14-B14</f>
        <v>1.34</v>
      </c>
      <c r="F14" s="4" t="n">
        <f aca="false">C14-D14</f>
        <v>-0.44</v>
      </c>
    </row>
    <row r="15" customFormat="false" ht="15" hidden="false" customHeight="false" outlineLevel="0" collapsed="false">
      <c r="A15" s="2" t="s">
        <v>47</v>
      </c>
      <c r="B15" s="4" t="n">
        <v>1964.89</v>
      </c>
      <c r="C15" s="4" t="n">
        <v>1993.22</v>
      </c>
      <c r="D15" s="4" t="n">
        <v>2008.14</v>
      </c>
      <c r="E15" s="4" t="n">
        <f aca="false">C15-B15</f>
        <v>28.3299999999999</v>
      </c>
      <c r="F15" s="4" t="n">
        <f aca="false">C15-D15</f>
        <v>-14.9200000000001</v>
      </c>
    </row>
    <row r="16" customFormat="false" ht="15" hidden="false" customHeight="false" outlineLevel="0" collapsed="false">
      <c r="A16" s="2" t="s">
        <v>48</v>
      </c>
      <c r="B16" s="4" t="n">
        <v>186.22</v>
      </c>
      <c r="C16" s="4" t="n">
        <v>136.97</v>
      </c>
      <c r="D16" s="4" t="n">
        <v>139.43</v>
      </c>
      <c r="E16" s="4" t="n">
        <f aca="false">C16-B16</f>
        <v>-49.25</v>
      </c>
      <c r="F16" s="4" t="n">
        <f aca="false">C16-D16</f>
        <v>-2.46000000000001</v>
      </c>
    </row>
    <row r="17" customFormat="false" ht="15" hidden="false" customHeight="false" outlineLevel="0" collapsed="false">
      <c r="A17" s="2" t="s">
        <v>49</v>
      </c>
      <c r="B17" s="4" t="n">
        <v>2186.09</v>
      </c>
      <c r="C17" s="4" t="n">
        <v>2098.89</v>
      </c>
      <c r="D17" s="4" t="n">
        <v>2091.79</v>
      </c>
      <c r="E17" s="4" t="n">
        <f aca="false">C17-B17</f>
        <v>-87.2000000000003</v>
      </c>
      <c r="F17" s="4" t="n">
        <f aca="false">C17-D17</f>
        <v>7.09999999999991</v>
      </c>
    </row>
    <row r="18" customFormat="false" ht="15" hidden="false" customHeight="false" outlineLevel="0" collapsed="false">
      <c r="A18" s="2" t="s">
        <v>50</v>
      </c>
      <c r="B18" s="4" t="n">
        <v>3365.93</v>
      </c>
      <c r="C18" s="4" t="n">
        <v>3462.15</v>
      </c>
      <c r="D18" s="4" t="n">
        <v>3511.3</v>
      </c>
      <c r="E18" s="4" t="n">
        <f aca="false">C18-B18</f>
        <v>96.2200000000003</v>
      </c>
      <c r="F18" s="4" t="n">
        <f aca="false">C18-D18</f>
        <v>-49.1500000000001</v>
      </c>
    </row>
    <row r="19" customFormat="false" ht="15" hidden="false" customHeight="false" outlineLevel="0" collapsed="false">
      <c r="A19" s="2" t="s">
        <v>51</v>
      </c>
      <c r="B19" s="4" t="n">
        <v>653.83</v>
      </c>
      <c r="C19" s="4" t="n">
        <v>526.69</v>
      </c>
      <c r="D19" s="4" t="n">
        <v>575.05</v>
      </c>
      <c r="E19" s="4" t="n">
        <f aca="false">C19-B19</f>
        <v>-127.14</v>
      </c>
      <c r="F19" s="4" t="n">
        <f aca="false">C19-D19</f>
        <v>-48.3599999999999</v>
      </c>
    </row>
    <row r="20" customFormat="false" ht="15" hidden="false" customHeight="false" outlineLevel="0" collapsed="false">
      <c r="A20" s="2" t="s">
        <v>52</v>
      </c>
      <c r="B20" s="4" t="n">
        <v>318.72</v>
      </c>
      <c r="C20" s="4" t="n">
        <v>304.78</v>
      </c>
      <c r="D20" s="4" t="n">
        <v>277.42</v>
      </c>
      <c r="E20" s="4" t="n">
        <f aca="false">C20-B20</f>
        <v>-13.9400000000001</v>
      </c>
      <c r="F20" s="4" t="n">
        <f aca="false">C20-D20</f>
        <v>27.36</v>
      </c>
    </row>
    <row r="21" customFormat="false" ht="15" hidden="false" customHeight="false" outlineLevel="0" collapsed="false">
      <c r="A21" s="2" t="s">
        <v>53</v>
      </c>
      <c r="B21" s="4" t="n">
        <v>103.26</v>
      </c>
      <c r="C21" s="4" t="n">
        <v>185.83</v>
      </c>
      <c r="D21" s="4" t="n">
        <v>235.98</v>
      </c>
      <c r="E21" s="4" t="n">
        <f aca="false">C21-B21</f>
        <v>82.57</v>
      </c>
      <c r="F21" s="4" t="n">
        <f aca="false">C21-D21</f>
        <v>-50.15</v>
      </c>
    </row>
    <row r="22" customFormat="false" ht="15" hidden="false" customHeight="false" outlineLevel="0" collapsed="false">
      <c r="A22" s="2" t="s">
        <v>54</v>
      </c>
      <c r="B22" s="4" t="n">
        <v>42.16</v>
      </c>
      <c r="C22" s="4" t="n">
        <v>60.47</v>
      </c>
      <c r="D22" s="4" t="n">
        <v>58.5</v>
      </c>
      <c r="E22" s="4" t="n">
        <f aca="false">C22-B22</f>
        <v>18.31</v>
      </c>
      <c r="F22" s="4" t="n">
        <f aca="false">C22-D22</f>
        <v>1.97</v>
      </c>
    </row>
    <row r="23" customFormat="false" ht="15" hidden="false" customHeight="false" outlineLevel="0" collapsed="false">
      <c r="A23" s="2" t="s">
        <v>55</v>
      </c>
      <c r="B23" s="4" t="n">
        <v>621.47</v>
      </c>
      <c r="C23" s="4" t="n">
        <v>342.41</v>
      </c>
      <c r="D23" s="4" t="n">
        <v>415.84</v>
      </c>
      <c r="E23" s="4" t="n">
        <f aca="false">C23-B23</f>
        <v>-279.06</v>
      </c>
      <c r="F23" s="4" t="n">
        <f aca="false">C23-D23</f>
        <v>-73.43</v>
      </c>
    </row>
    <row r="24" customFormat="false" ht="15" hidden="false" customHeight="false" outlineLevel="0" collapsed="false">
      <c r="A24" s="2" t="s">
        <v>56</v>
      </c>
      <c r="B24" s="4" t="n">
        <v>735.3</v>
      </c>
      <c r="C24" s="4" t="n">
        <v>285</v>
      </c>
      <c r="D24" s="4" t="n">
        <v>328.22</v>
      </c>
      <c r="E24" s="4" t="n">
        <f aca="false">C24-B24</f>
        <v>-450.3</v>
      </c>
      <c r="F24" s="4" t="n">
        <f aca="false">C24-D24</f>
        <v>-43.22</v>
      </c>
    </row>
    <row r="25" customFormat="false" ht="15" hidden="false" customHeight="false" outlineLevel="0" collapsed="false">
      <c r="A25" s="2" t="s">
        <v>57</v>
      </c>
      <c r="B25" s="4" t="n">
        <v>351.67</v>
      </c>
      <c r="C25" s="4" t="n">
        <v>756.25</v>
      </c>
      <c r="D25" s="4" t="n">
        <v>827.88</v>
      </c>
      <c r="E25" s="4" t="n">
        <f aca="false">C25-B25</f>
        <v>404.58</v>
      </c>
      <c r="F25" s="4" t="n">
        <f aca="false">C25-D25</f>
        <v>-71.63</v>
      </c>
    </row>
    <row r="26" customFormat="false" ht="15" hidden="false" customHeight="false" outlineLevel="0" collapsed="false">
      <c r="A26" s="2" t="s">
        <v>58</v>
      </c>
      <c r="B26" s="4" t="n">
        <v>189.36</v>
      </c>
      <c r="C26" s="4" t="n">
        <v>301.72</v>
      </c>
      <c r="D26" s="4" t="n">
        <v>206.76</v>
      </c>
      <c r="E26" s="4" t="n">
        <f aca="false">C26-B26</f>
        <v>112.36</v>
      </c>
      <c r="F26" s="4" t="n">
        <f aca="false">C26-D26</f>
        <v>94.96</v>
      </c>
    </row>
    <row r="27" customFormat="false" ht="15" hidden="false" customHeight="false" outlineLevel="0" collapsed="false">
      <c r="A27" s="2" t="s">
        <v>59</v>
      </c>
      <c r="B27" s="4" t="n">
        <v>6109.43</v>
      </c>
      <c r="C27" s="4" t="n">
        <v>6243.23</v>
      </c>
      <c r="D27" s="4" t="n">
        <v>6096.17</v>
      </c>
      <c r="E27" s="4" t="n">
        <f aca="false">C27-B27</f>
        <v>133.799999999999</v>
      </c>
      <c r="F27" s="4" t="n">
        <f aca="false">C27-D27</f>
        <v>147.06</v>
      </c>
    </row>
    <row r="28" customFormat="false" ht="15" hidden="false" customHeight="false" outlineLevel="0" collapsed="false">
      <c r="A28" s="2" t="s">
        <v>60</v>
      </c>
      <c r="B28" s="4" t="n">
        <v>262.4</v>
      </c>
      <c r="C28" s="4" t="n">
        <v>300.96</v>
      </c>
      <c r="D28" s="4" t="n">
        <v>260.26</v>
      </c>
      <c r="E28" s="4" t="n">
        <f aca="false">C28-B28</f>
        <v>38.56</v>
      </c>
      <c r="F28" s="4" t="n">
        <f aca="false">C28-D28</f>
        <v>40.7</v>
      </c>
    </row>
    <row r="29" customFormat="false" ht="15" hidden="false" customHeight="false" outlineLevel="0" collapsed="false">
      <c r="A29" s="2" t="s">
        <v>61</v>
      </c>
      <c r="B29" s="4" t="n">
        <v>48.49</v>
      </c>
      <c r="C29" s="4" t="n">
        <v>0</v>
      </c>
      <c r="D29" s="4" t="n">
        <v>0</v>
      </c>
      <c r="E29" s="4" t="n">
        <f aca="false">C29-B29</f>
        <v>-48.49</v>
      </c>
      <c r="F29" s="4" t="n">
        <f aca="false">C29-D29</f>
        <v>0</v>
      </c>
    </row>
    <row r="30" customFormat="false" ht="15" hidden="false" customHeight="false" outlineLevel="0" collapsed="false">
      <c r="A30" s="3" t="s">
        <v>24</v>
      </c>
      <c r="B30" s="5" t="n">
        <f aca="false">SUM(B2:B29)</f>
        <v>23577.99</v>
      </c>
      <c r="C30" s="5" t="n">
        <f aca="false">SUM(C2:C29)</f>
        <v>23519.45</v>
      </c>
      <c r="D30" s="5" t="n">
        <f aca="false">SUM(D2:D29)</f>
        <v>23517.62</v>
      </c>
      <c r="E30" s="5" t="n">
        <f aca="false">SUM(E2:E29)</f>
        <v>-58.5400000000006</v>
      </c>
      <c r="F30" s="5" t="n">
        <f aca="false">SUM(F2:F29)</f>
        <v>1.82999999999972</v>
      </c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</row>
    <row r="32" customFormat="false" ht="15" hidden="false" customHeight="false" outlineLevel="0" collapsed="false">
      <c r="A32" s="2" t="s">
        <v>25</v>
      </c>
      <c r="B32" s="2"/>
      <c r="C32" s="2"/>
      <c r="D32" s="2"/>
      <c r="E32" s="2"/>
      <c r="F32" s="2"/>
    </row>
    <row r="33" customFormat="false" ht="15" hidden="false" customHeight="false" outlineLevel="0" collapsed="false">
      <c r="A33" s="2" t="s">
        <v>62</v>
      </c>
      <c r="B33" s="2"/>
      <c r="C33" s="2"/>
      <c r="D33" s="2"/>
      <c r="E33" s="2"/>
      <c r="F33" s="2"/>
    </row>
    <row r="34" customFormat="false" ht="15" hidden="false" customHeight="false" outlineLevel="0" collapsed="false">
      <c r="A34" s="2" t="s">
        <v>63</v>
      </c>
      <c r="B34" s="2"/>
      <c r="C34" s="2"/>
      <c r="D34" s="2"/>
      <c r="E34" s="2"/>
      <c r="F34" s="2"/>
    </row>
    <row r="35" customFormat="false" ht="15" hidden="false" customHeight="false" outlineLevel="0" collapsed="false">
      <c r="A35" s="2" t="s">
        <v>64</v>
      </c>
      <c r="B35" s="2"/>
      <c r="C35" s="2"/>
      <c r="D35" s="2"/>
      <c r="E35" s="2"/>
      <c r="F3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0" min="2" style="0" width="13"/>
  </cols>
  <sheetData>
    <row r="1" customFormat="false" ht="15" hidden="false" customHeight="false" outlineLevel="0" collapsed="false">
      <c r="A1" s="3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24.05" hidden="false" customHeight="false" outlineLevel="0" collapsed="false">
      <c r="A2" s="1" t="s">
        <v>65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 t="s">
        <v>55</v>
      </c>
      <c r="X2" s="1" t="s">
        <v>56</v>
      </c>
      <c r="Y2" s="1" t="s">
        <v>57</v>
      </c>
      <c r="Z2" s="1" t="s">
        <v>58</v>
      </c>
      <c r="AA2" s="1" t="s">
        <v>59</v>
      </c>
      <c r="AB2" s="1" t="s">
        <v>60</v>
      </c>
      <c r="AC2" s="1" t="s">
        <v>61</v>
      </c>
      <c r="AD2" s="1" t="s">
        <v>66</v>
      </c>
    </row>
    <row r="3" customFormat="false" ht="15" hidden="false" customHeight="false" outlineLevel="0" collapsed="false">
      <c r="A3" s="2" t="s">
        <v>67</v>
      </c>
      <c r="B3" s="4" t="n">
        <v>17.63</v>
      </c>
      <c r="C3" s="4" t="n">
        <v>0</v>
      </c>
      <c r="D3" s="4" t="n">
        <v>7.56</v>
      </c>
      <c r="E3" s="4" t="n">
        <v>103.93</v>
      </c>
      <c r="F3" s="4" t="n">
        <v>0</v>
      </c>
      <c r="G3" s="4" t="n">
        <v>75.33</v>
      </c>
      <c r="H3" s="4" t="n">
        <v>43.44</v>
      </c>
      <c r="I3" s="4" t="n">
        <v>8.1</v>
      </c>
      <c r="J3" s="4" t="n">
        <v>0</v>
      </c>
      <c r="K3" s="4" t="n">
        <v>110.03</v>
      </c>
      <c r="L3" s="4" t="n">
        <v>0.07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22.77</v>
      </c>
      <c r="W3" s="4" t="n">
        <v>31.88</v>
      </c>
      <c r="X3" s="4" t="n">
        <v>4.73</v>
      </c>
      <c r="Y3" s="4" t="n">
        <v>184.15</v>
      </c>
      <c r="Z3" s="4" t="n">
        <v>0</v>
      </c>
      <c r="AA3" s="4" t="n">
        <v>329.44</v>
      </c>
      <c r="AB3" s="4" t="n">
        <v>69.86</v>
      </c>
      <c r="AC3" s="4" t="n">
        <v>0</v>
      </c>
      <c r="AD3" s="4" t="n">
        <f aca="false">SUM(B3:AC3)</f>
        <v>1008.92</v>
      </c>
    </row>
    <row r="4" customFormat="false" ht="15" hidden="false" customHeight="false" outlineLevel="0" collapsed="false">
      <c r="A4" s="2" t="s">
        <v>68</v>
      </c>
      <c r="B4" s="4" t="n">
        <v>25.42</v>
      </c>
      <c r="C4" s="4" t="n">
        <v>0</v>
      </c>
      <c r="D4" s="4" t="n">
        <v>16.38</v>
      </c>
      <c r="E4" s="4" t="n">
        <v>884.91</v>
      </c>
      <c r="F4" s="4" t="n">
        <v>0</v>
      </c>
      <c r="G4" s="4" t="n">
        <v>213.12</v>
      </c>
      <c r="H4" s="4" t="n">
        <v>122.62</v>
      </c>
      <c r="I4" s="4" t="n">
        <v>31.74</v>
      </c>
      <c r="J4" s="4" t="n">
        <v>0</v>
      </c>
      <c r="K4" s="4" t="n">
        <v>53.5</v>
      </c>
      <c r="L4" s="4" t="n">
        <v>0.19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283.37</v>
      </c>
      <c r="U4" s="4" t="n">
        <v>0</v>
      </c>
      <c r="V4" s="4" t="n">
        <v>1.59</v>
      </c>
      <c r="W4" s="4" t="n">
        <v>202.22</v>
      </c>
      <c r="X4" s="4" t="n">
        <v>36.92</v>
      </c>
      <c r="Y4" s="4" t="n">
        <v>72.77</v>
      </c>
      <c r="Z4" s="4" t="n">
        <v>0</v>
      </c>
      <c r="AA4" s="4" t="n">
        <v>93.96</v>
      </c>
      <c r="AB4" s="4" t="n">
        <v>76.12</v>
      </c>
      <c r="AC4" s="4" t="n">
        <v>0</v>
      </c>
      <c r="AD4" s="4" t="n">
        <f aca="false">SUM(B4:AC4)</f>
        <v>2114.83</v>
      </c>
    </row>
    <row r="5" customFormat="false" ht="15" hidden="false" customHeight="false" outlineLevel="0" collapsed="false">
      <c r="A5" s="2" t="s">
        <v>69</v>
      </c>
      <c r="B5" s="4" t="n">
        <v>22.27</v>
      </c>
      <c r="C5" s="4" t="n">
        <v>1.83</v>
      </c>
      <c r="D5" s="4" t="n">
        <v>161.16</v>
      </c>
      <c r="E5" s="4" t="n">
        <v>137.18</v>
      </c>
      <c r="F5" s="4" t="n">
        <v>0</v>
      </c>
      <c r="G5" s="4" t="n">
        <v>25.86</v>
      </c>
      <c r="H5" s="4" t="n">
        <v>20.61</v>
      </c>
      <c r="I5" s="4" t="n">
        <v>55.46</v>
      </c>
      <c r="J5" s="4" t="n">
        <v>0</v>
      </c>
      <c r="K5" s="4" t="n">
        <v>3293.77</v>
      </c>
      <c r="L5" s="4" t="n">
        <v>3.95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21.41</v>
      </c>
      <c r="U5" s="4" t="n">
        <v>0</v>
      </c>
      <c r="V5" s="4" t="n">
        <v>36.11</v>
      </c>
      <c r="W5" s="4" t="n">
        <v>49.87</v>
      </c>
      <c r="X5" s="4" t="n">
        <v>15.14</v>
      </c>
      <c r="Y5" s="4" t="n">
        <v>156.74</v>
      </c>
      <c r="Z5" s="4" t="n">
        <v>0</v>
      </c>
      <c r="AA5" s="4" t="n">
        <v>748.91</v>
      </c>
      <c r="AB5" s="4" t="n">
        <v>3.24</v>
      </c>
      <c r="AC5" s="4" t="n">
        <v>0</v>
      </c>
      <c r="AD5" s="4" t="n">
        <f aca="false">SUM(B5:AC5)</f>
        <v>4753.51</v>
      </c>
    </row>
    <row r="6" customFormat="false" ht="15" hidden="false" customHeight="false" outlineLevel="0" collapsed="false">
      <c r="A6" s="2" t="s">
        <v>70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16.88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2098.89</v>
      </c>
      <c r="R6" s="4" t="n">
        <v>0</v>
      </c>
      <c r="S6" s="4" t="n">
        <v>0</v>
      </c>
      <c r="T6" s="4" t="n">
        <v>0</v>
      </c>
      <c r="U6" s="4" t="n">
        <v>21.51</v>
      </c>
      <c r="V6" s="4" t="n">
        <v>0</v>
      </c>
      <c r="W6" s="4" t="n">
        <v>7.2</v>
      </c>
      <c r="X6" s="4" t="n">
        <v>9.93</v>
      </c>
      <c r="Y6" s="4" t="n">
        <v>26.17</v>
      </c>
      <c r="Z6" s="4" t="n">
        <v>0</v>
      </c>
      <c r="AA6" s="4" t="n">
        <v>1444.08</v>
      </c>
      <c r="AB6" s="4" t="n">
        <v>6.01</v>
      </c>
      <c r="AC6" s="4" t="n">
        <v>0</v>
      </c>
      <c r="AD6" s="4" t="n">
        <f aca="false">SUM(B6:AC6)</f>
        <v>3630.67</v>
      </c>
    </row>
    <row r="7" customFormat="false" ht="15" hidden="false" customHeight="false" outlineLevel="0" collapsed="false">
      <c r="A7" s="2" t="s">
        <v>71</v>
      </c>
      <c r="B7" s="4" t="n">
        <v>0</v>
      </c>
      <c r="C7" s="4" t="n">
        <v>0</v>
      </c>
      <c r="D7" s="4" t="n">
        <v>0</v>
      </c>
      <c r="E7" s="4" t="n">
        <v>33.14</v>
      </c>
      <c r="F7" s="4" t="n">
        <v>103.38</v>
      </c>
      <c r="G7" s="4" t="n">
        <v>16.18</v>
      </c>
      <c r="H7" s="4" t="n">
        <v>0</v>
      </c>
      <c r="I7" s="4" t="n">
        <v>0</v>
      </c>
      <c r="J7" s="4" t="n">
        <v>35.71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3462.15</v>
      </c>
      <c r="S7" s="4" t="n">
        <v>526.69</v>
      </c>
      <c r="T7" s="4" t="n">
        <v>0</v>
      </c>
      <c r="U7" s="4" t="n">
        <v>99.75</v>
      </c>
      <c r="V7" s="4" t="n">
        <v>0</v>
      </c>
      <c r="W7" s="4" t="n">
        <v>39.05</v>
      </c>
      <c r="X7" s="4" t="n">
        <v>36.84</v>
      </c>
      <c r="Y7" s="4" t="n">
        <v>82.01</v>
      </c>
      <c r="Z7" s="4" t="n">
        <v>269.37</v>
      </c>
      <c r="AA7" s="4" t="n">
        <v>1301.52</v>
      </c>
      <c r="AB7" s="4" t="n">
        <v>108.46</v>
      </c>
      <c r="AC7" s="4" t="n">
        <v>0</v>
      </c>
      <c r="AD7" s="4" t="n">
        <f aca="false">SUM(B7:AC7)</f>
        <v>6114.25</v>
      </c>
    </row>
    <row r="8" customFormat="false" ht="15" hidden="false" customHeight="false" outlineLevel="0" collapsed="false">
      <c r="A8" s="2" t="s">
        <v>72</v>
      </c>
      <c r="B8" s="4" t="n">
        <v>0</v>
      </c>
      <c r="C8" s="4" t="n">
        <v>0</v>
      </c>
      <c r="D8" s="4" t="n">
        <v>8.86</v>
      </c>
      <c r="E8" s="4" t="n">
        <v>0</v>
      </c>
      <c r="F8" s="4" t="n">
        <v>6.37</v>
      </c>
      <c r="G8" s="4" t="n">
        <v>0.06</v>
      </c>
      <c r="H8" s="4" t="n">
        <v>0</v>
      </c>
      <c r="I8" s="4" t="n">
        <v>0</v>
      </c>
      <c r="J8" s="4" t="n">
        <v>8.01</v>
      </c>
      <c r="K8" s="4" t="n">
        <v>0</v>
      </c>
      <c r="L8" s="4" t="n">
        <v>0</v>
      </c>
      <c r="M8" s="4" t="n">
        <v>804.54</v>
      </c>
      <c r="N8" s="4" t="n">
        <v>3.43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15.49</v>
      </c>
      <c r="V8" s="4" t="n">
        <v>0</v>
      </c>
      <c r="W8" s="4" t="n">
        <v>2.48</v>
      </c>
      <c r="X8" s="4" t="n">
        <v>8.68</v>
      </c>
      <c r="Y8" s="4" t="n">
        <v>35.12</v>
      </c>
      <c r="Z8" s="4" t="n">
        <v>5.45</v>
      </c>
      <c r="AA8" s="4" t="n">
        <v>586.09</v>
      </c>
      <c r="AB8" s="4" t="n">
        <v>13.22</v>
      </c>
      <c r="AC8" s="4" t="n">
        <v>0</v>
      </c>
      <c r="AD8" s="4" t="n">
        <f aca="false">SUM(B8:AC8)</f>
        <v>1497.8</v>
      </c>
    </row>
    <row r="9" customFormat="false" ht="15" hidden="false" customHeight="false" outlineLevel="0" collapsed="false">
      <c r="A9" s="2" t="s">
        <v>73</v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1.07</v>
      </c>
      <c r="G9" s="4" t="n">
        <v>0.29</v>
      </c>
      <c r="H9" s="4" t="n">
        <v>0</v>
      </c>
      <c r="I9" s="4" t="n">
        <v>0</v>
      </c>
      <c r="J9" s="4" t="n">
        <v>46.9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1993.22</v>
      </c>
      <c r="P9" s="4" t="n">
        <v>136.97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49.08</v>
      </c>
      <c r="V9" s="4" t="n">
        <v>0</v>
      </c>
      <c r="W9" s="4" t="n">
        <v>9.71</v>
      </c>
      <c r="X9" s="4" t="n">
        <v>172.76</v>
      </c>
      <c r="Y9" s="4" t="n">
        <v>199.29</v>
      </c>
      <c r="Z9" s="4" t="n">
        <v>26.9</v>
      </c>
      <c r="AA9" s="4" t="n">
        <v>1739.23</v>
      </c>
      <c r="AB9" s="4" t="n">
        <v>24.05</v>
      </c>
      <c r="AC9" s="4" t="n">
        <v>0</v>
      </c>
      <c r="AD9" s="4" t="n">
        <f aca="false">SUM(B9:AC9)</f>
        <v>4399.47</v>
      </c>
    </row>
    <row r="10" customFormat="false" ht="15" hidden="false" customHeight="false" outlineLevel="0" collapsed="false">
      <c r="A10" s="3" t="s">
        <v>66</v>
      </c>
      <c r="B10" s="5" t="n">
        <f aca="false">SUM(B3:B9)</f>
        <v>65.32</v>
      </c>
      <c r="C10" s="5" t="n">
        <f aca="false">SUM(C3:C9)</f>
        <v>1.83</v>
      </c>
      <c r="D10" s="5" t="n">
        <f aca="false">SUM(D3:D9)</f>
        <v>193.96</v>
      </c>
      <c r="E10" s="5" t="n">
        <f aca="false">SUM(E3:E9)</f>
        <v>1159.16</v>
      </c>
      <c r="F10" s="5" t="n">
        <f aca="false">SUM(F3:F9)</f>
        <v>110.82</v>
      </c>
      <c r="G10" s="5" t="n">
        <f aca="false">SUM(G3:G9)</f>
        <v>330.84</v>
      </c>
      <c r="H10" s="5" t="n">
        <f aca="false">SUM(H3:H9)</f>
        <v>186.67</v>
      </c>
      <c r="I10" s="5" t="n">
        <f aca="false">SUM(I3:I9)</f>
        <v>95.3</v>
      </c>
      <c r="J10" s="5" t="n">
        <f aca="false">SUM(J3:J9)</f>
        <v>107.5</v>
      </c>
      <c r="K10" s="5" t="n">
        <f aca="false">SUM(K3:K9)</f>
        <v>3457.3</v>
      </c>
      <c r="L10" s="5" t="n">
        <f aca="false">SUM(L3:L9)</f>
        <v>4.21</v>
      </c>
      <c r="M10" s="5" t="n">
        <f aca="false">SUM(M3:M9)</f>
        <v>804.54</v>
      </c>
      <c r="N10" s="5" t="n">
        <f aca="false">SUM(N3:N9)</f>
        <v>3.43</v>
      </c>
      <c r="O10" s="5" t="n">
        <f aca="false">SUM(O3:O9)</f>
        <v>1993.22</v>
      </c>
      <c r="P10" s="5" t="n">
        <f aca="false">SUM(P3:P9)</f>
        <v>136.97</v>
      </c>
      <c r="Q10" s="5" t="n">
        <f aca="false">SUM(Q3:Q9)</f>
        <v>2098.89</v>
      </c>
      <c r="R10" s="5" t="n">
        <f aca="false">SUM(R3:R9)</f>
        <v>3462.15</v>
      </c>
      <c r="S10" s="5" t="n">
        <f aca="false">SUM(S3:S9)</f>
        <v>526.69</v>
      </c>
      <c r="T10" s="5" t="n">
        <f aca="false">SUM(T3:T9)</f>
        <v>304.78</v>
      </c>
      <c r="U10" s="5" t="n">
        <f aca="false">SUM(U3:U9)</f>
        <v>185.83</v>
      </c>
      <c r="V10" s="5" t="n">
        <f aca="false">SUM(V3:V9)</f>
        <v>60.47</v>
      </c>
      <c r="W10" s="5" t="n">
        <f aca="false">SUM(W3:W9)</f>
        <v>342.41</v>
      </c>
      <c r="X10" s="5" t="n">
        <f aca="false">SUM(X3:X9)</f>
        <v>285</v>
      </c>
      <c r="Y10" s="5" t="n">
        <f aca="false">SUM(Y3:Y9)</f>
        <v>756.25</v>
      </c>
      <c r="Z10" s="5" t="n">
        <f aca="false">SUM(Z3:Z9)</f>
        <v>301.72</v>
      </c>
      <c r="AA10" s="5" t="n">
        <f aca="false">SUM(AA3:AA9)</f>
        <v>6243.23</v>
      </c>
      <c r="AB10" s="5" t="n">
        <f aca="false">SUM(AB3:AB9)</f>
        <v>300.96</v>
      </c>
      <c r="AC10" s="5" t="n">
        <f aca="false">SUM(AC3:AC9)</f>
        <v>0</v>
      </c>
      <c r="AD10" s="5" t="n">
        <f aca="false">SUM(AD3:AD9)</f>
        <v>23519.45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customFormat="false" ht="15" hidden="false" customHeight="false" outlineLevel="0" collapsed="false">
      <c r="A13" s="3" t="s">
        <v>31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customFormat="false" ht="24.05" hidden="false" customHeight="false" outlineLevel="0" collapsed="false">
      <c r="A14" s="1" t="s">
        <v>65</v>
      </c>
      <c r="B14" s="1" t="s">
        <v>34</v>
      </c>
      <c r="C14" s="1" t="s">
        <v>35</v>
      </c>
      <c r="D14" s="1" t="s">
        <v>36</v>
      </c>
      <c r="E14" s="1" t="s">
        <v>37</v>
      </c>
      <c r="F14" s="1" t="s">
        <v>38</v>
      </c>
      <c r="G14" s="1" t="s">
        <v>39</v>
      </c>
      <c r="H14" s="1" t="s">
        <v>40</v>
      </c>
      <c r="I14" s="1" t="s">
        <v>41</v>
      </c>
      <c r="J14" s="1" t="s">
        <v>42</v>
      </c>
      <c r="K14" s="1" t="s">
        <v>43</v>
      </c>
      <c r="L14" s="1" t="s">
        <v>44</v>
      </c>
      <c r="M14" s="1" t="s">
        <v>45</v>
      </c>
      <c r="N14" s="1" t="s">
        <v>46</v>
      </c>
      <c r="O14" s="1" t="s">
        <v>47</v>
      </c>
      <c r="P14" s="1" t="s">
        <v>48</v>
      </c>
      <c r="Q14" s="1" t="s">
        <v>49</v>
      </c>
      <c r="R14" s="1" t="s">
        <v>50</v>
      </c>
      <c r="S14" s="1" t="s">
        <v>51</v>
      </c>
      <c r="T14" s="1" t="s">
        <v>52</v>
      </c>
      <c r="U14" s="1" t="s">
        <v>53</v>
      </c>
      <c r="V14" s="1" t="s">
        <v>54</v>
      </c>
      <c r="W14" s="1" t="s">
        <v>55</v>
      </c>
      <c r="X14" s="1" t="s">
        <v>56</v>
      </c>
      <c r="Y14" s="1" t="s">
        <v>57</v>
      </c>
      <c r="Z14" s="1" t="s">
        <v>58</v>
      </c>
      <c r="AA14" s="1" t="s">
        <v>59</v>
      </c>
      <c r="AB14" s="1" t="s">
        <v>60</v>
      </c>
      <c r="AC14" s="1" t="s">
        <v>61</v>
      </c>
      <c r="AD14" s="1" t="s">
        <v>66</v>
      </c>
    </row>
    <row r="15" customFormat="false" ht="15" hidden="false" customHeight="false" outlineLevel="0" collapsed="false">
      <c r="A15" s="2" t="s">
        <v>67</v>
      </c>
      <c r="B15" s="4" t="n">
        <v>36.08</v>
      </c>
      <c r="C15" s="4" t="n">
        <v>1.06</v>
      </c>
      <c r="D15" s="4" t="n">
        <v>7.56</v>
      </c>
      <c r="E15" s="4" t="n">
        <v>78.88</v>
      </c>
      <c r="F15" s="4" t="n">
        <v>0</v>
      </c>
      <c r="G15" s="4" t="n">
        <v>64.81</v>
      </c>
      <c r="H15" s="4" t="n">
        <v>50.26</v>
      </c>
      <c r="I15" s="4" t="n">
        <v>10.71</v>
      </c>
      <c r="J15" s="4" t="n">
        <v>0</v>
      </c>
      <c r="K15" s="4" t="n">
        <v>110</v>
      </c>
      <c r="L15" s="4" t="n">
        <v>0.08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19.58</v>
      </c>
      <c r="W15" s="4" t="n">
        <v>41.11</v>
      </c>
      <c r="X15" s="4" t="n">
        <v>5.73</v>
      </c>
      <c r="Y15" s="4" t="n">
        <v>217.03</v>
      </c>
      <c r="Z15" s="4" t="n">
        <v>0</v>
      </c>
      <c r="AA15" s="4" t="n">
        <v>315.16</v>
      </c>
      <c r="AB15" s="4" t="n">
        <v>53.54</v>
      </c>
      <c r="AC15" s="4" t="n">
        <v>0</v>
      </c>
      <c r="AD15" s="4" t="n">
        <f aca="false">SUM(B15:AC15)</f>
        <v>1011.59</v>
      </c>
    </row>
    <row r="16" customFormat="false" ht="15" hidden="false" customHeight="false" outlineLevel="0" collapsed="false">
      <c r="A16" s="2" t="s">
        <v>68</v>
      </c>
      <c r="B16" s="4" t="n">
        <v>42.87</v>
      </c>
      <c r="C16" s="4" t="n">
        <v>0</v>
      </c>
      <c r="D16" s="4" t="n">
        <v>16.06</v>
      </c>
      <c r="E16" s="4" t="n">
        <v>850.91</v>
      </c>
      <c r="F16" s="4" t="n">
        <v>0</v>
      </c>
      <c r="G16" s="4" t="n">
        <v>200.22</v>
      </c>
      <c r="H16" s="4" t="n">
        <v>138.32</v>
      </c>
      <c r="I16" s="4" t="n">
        <v>31.63</v>
      </c>
      <c r="J16" s="4" t="n">
        <v>0</v>
      </c>
      <c r="K16" s="4" t="n">
        <v>59.3</v>
      </c>
      <c r="L16" s="4" t="n">
        <v>0.53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261.06</v>
      </c>
      <c r="U16" s="4" t="n">
        <v>0</v>
      </c>
      <c r="V16" s="4" t="n">
        <v>2.09</v>
      </c>
      <c r="W16" s="4" t="n">
        <v>207.24</v>
      </c>
      <c r="X16" s="4" t="n">
        <v>48.82</v>
      </c>
      <c r="Y16" s="4" t="n">
        <v>92.15</v>
      </c>
      <c r="Z16" s="4" t="n">
        <v>0</v>
      </c>
      <c r="AA16" s="4" t="n">
        <v>99.62</v>
      </c>
      <c r="AB16" s="4" t="n">
        <v>65.98</v>
      </c>
      <c r="AC16" s="4" t="n">
        <v>0</v>
      </c>
      <c r="AD16" s="4" t="n">
        <f aca="false">SUM(B16:AC16)</f>
        <v>2116.8</v>
      </c>
    </row>
    <row r="17" customFormat="false" ht="15" hidden="false" customHeight="false" outlineLevel="0" collapsed="false">
      <c r="A17" s="2" t="s">
        <v>69</v>
      </c>
      <c r="B17" s="4" t="n">
        <v>27.85</v>
      </c>
      <c r="C17" s="4" t="n">
        <v>6.31</v>
      </c>
      <c r="D17" s="4" t="n">
        <v>118.31</v>
      </c>
      <c r="E17" s="4" t="n">
        <v>129.03</v>
      </c>
      <c r="F17" s="4" t="n">
        <v>0</v>
      </c>
      <c r="G17" s="4" t="n">
        <v>22.96</v>
      </c>
      <c r="H17" s="4" t="n">
        <v>26.02</v>
      </c>
      <c r="I17" s="4" t="n">
        <v>64.68</v>
      </c>
      <c r="J17" s="4" t="n">
        <v>0</v>
      </c>
      <c r="K17" s="4" t="n">
        <v>3325.82</v>
      </c>
      <c r="L17" s="4" t="n">
        <v>4.56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16.36</v>
      </c>
      <c r="U17" s="4" t="n">
        <v>0</v>
      </c>
      <c r="V17" s="4" t="n">
        <v>36.83</v>
      </c>
      <c r="W17" s="4" t="n">
        <v>58.02</v>
      </c>
      <c r="X17" s="4" t="n">
        <v>20.14</v>
      </c>
      <c r="Y17" s="4" t="n">
        <v>161.08</v>
      </c>
      <c r="Z17" s="4" t="n">
        <v>0</v>
      </c>
      <c r="AA17" s="4" t="n">
        <v>732.02</v>
      </c>
      <c r="AB17" s="4" t="n">
        <v>2.79</v>
      </c>
      <c r="AC17" s="4" t="n">
        <v>0</v>
      </c>
      <c r="AD17" s="4" t="n">
        <f aca="false">SUM(B17:AC17)</f>
        <v>4752.78</v>
      </c>
    </row>
    <row r="18" customFormat="false" ht="15" hidden="false" customHeight="false" outlineLevel="0" collapsed="false">
      <c r="A18" s="2" t="s">
        <v>70</v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17.16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2091.79</v>
      </c>
      <c r="R18" s="4" t="n">
        <v>0</v>
      </c>
      <c r="S18" s="4" t="n">
        <v>0</v>
      </c>
      <c r="T18" s="4" t="n">
        <v>0</v>
      </c>
      <c r="U18" s="4" t="n">
        <v>24.15</v>
      </c>
      <c r="V18" s="4" t="n">
        <v>0</v>
      </c>
      <c r="W18" s="4" t="n">
        <v>21.25</v>
      </c>
      <c r="X18" s="4" t="n">
        <v>10.11</v>
      </c>
      <c r="Y18" s="4" t="n">
        <v>24.34</v>
      </c>
      <c r="Z18" s="4" t="n">
        <v>0</v>
      </c>
      <c r="AA18" s="4" t="n">
        <v>1432.27</v>
      </c>
      <c r="AB18" s="4" t="n">
        <v>6.95</v>
      </c>
      <c r="AC18" s="4" t="n">
        <v>0</v>
      </c>
      <c r="AD18" s="4" t="n">
        <f aca="false">SUM(B18:AC18)</f>
        <v>3628.02</v>
      </c>
    </row>
    <row r="19" customFormat="false" ht="15" hidden="false" customHeight="false" outlineLevel="0" collapsed="false">
      <c r="A19" s="2" t="s">
        <v>71</v>
      </c>
      <c r="B19" s="4" t="n">
        <v>0</v>
      </c>
      <c r="C19" s="4" t="n">
        <v>0</v>
      </c>
      <c r="D19" s="4" t="n">
        <v>0</v>
      </c>
      <c r="E19" s="4" t="n">
        <v>40.62</v>
      </c>
      <c r="F19" s="4" t="n">
        <v>85.86</v>
      </c>
      <c r="G19" s="4" t="n">
        <v>19.9</v>
      </c>
      <c r="H19" s="4" t="n">
        <v>0</v>
      </c>
      <c r="I19" s="4" t="n">
        <v>0</v>
      </c>
      <c r="J19" s="4" t="n">
        <v>26.71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3511.3</v>
      </c>
      <c r="S19" s="4" t="n">
        <v>575.05</v>
      </c>
      <c r="T19" s="4" t="n">
        <v>0</v>
      </c>
      <c r="U19" s="4" t="n">
        <v>111.77</v>
      </c>
      <c r="V19" s="4" t="n">
        <v>0</v>
      </c>
      <c r="W19" s="4" t="n">
        <v>62.53</v>
      </c>
      <c r="X19" s="4" t="n">
        <v>50.43</v>
      </c>
      <c r="Y19" s="4" t="n">
        <v>122.84</v>
      </c>
      <c r="Z19" s="4" t="n">
        <v>187.27</v>
      </c>
      <c r="AA19" s="4" t="n">
        <v>1222.49</v>
      </c>
      <c r="AB19" s="4" t="n">
        <v>96.2</v>
      </c>
      <c r="AC19" s="4" t="n">
        <v>0</v>
      </c>
      <c r="AD19" s="4" t="n">
        <f aca="false">SUM(B19:AC19)</f>
        <v>6112.97</v>
      </c>
    </row>
    <row r="20" customFormat="false" ht="15" hidden="false" customHeight="false" outlineLevel="0" collapsed="false">
      <c r="A20" s="2" t="s">
        <v>72</v>
      </c>
      <c r="B20" s="4" t="n">
        <v>0</v>
      </c>
      <c r="C20" s="4" t="n">
        <v>0.07</v>
      </c>
      <c r="D20" s="4" t="n">
        <v>4.69</v>
      </c>
      <c r="E20" s="4" t="n">
        <v>0.12</v>
      </c>
      <c r="F20" s="4" t="n">
        <v>7.4</v>
      </c>
      <c r="G20" s="4" t="n">
        <v>0</v>
      </c>
      <c r="H20" s="4" t="n">
        <v>0</v>
      </c>
      <c r="I20" s="4" t="n">
        <v>0</v>
      </c>
      <c r="J20" s="4" t="n">
        <v>12.48</v>
      </c>
      <c r="K20" s="4" t="n">
        <v>0</v>
      </c>
      <c r="L20" s="4" t="n">
        <v>0</v>
      </c>
      <c r="M20" s="4" t="n">
        <v>800.38</v>
      </c>
      <c r="N20" s="4" t="n">
        <v>3.87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30.15</v>
      </c>
      <c r="V20" s="4" t="n">
        <v>0</v>
      </c>
      <c r="W20" s="4" t="n">
        <v>6.97</v>
      </c>
      <c r="X20" s="4" t="n">
        <v>13.96</v>
      </c>
      <c r="Y20" s="4" t="n">
        <v>21.68</v>
      </c>
      <c r="Z20" s="4" t="n">
        <v>0.7</v>
      </c>
      <c r="AA20" s="4" t="n">
        <v>586.26</v>
      </c>
      <c r="AB20" s="4" t="n">
        <v>9</v>
      </c>
      <c r="AC20" s="4" t="n">
        <v>0</v>
      </c>
      <c r="AD20" s="4" t="n">
        <f aca="false">SUM(B20:AC20)</f>
        <v>1497.73</v>
      </c>
    </row>
    <row r="21" customFormat="false" ht="15" hidden="false" customHeight="false" outlineLevel="0" collapsed="false">
      <c r="A21" s="2" t="s">
        <v>73</v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0.85</v>
      </c>
      <c r="G21" s="4" t="n">
        <v>0.24</v>
      </c>
      <c r="H21" s="4" t="n">
        <v>0.24</v>
      </c>
      <c r="I21" s="4" t="n">
        <v>0</v>
      </c>
      <c r="J21" s="4" t="n">
        <v>39.47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2008.14</v>
      </c>
      <c r="P21" s="4" t="n">
        <v>139.43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69.91</v>
      </c>
      <c r="V21" s="4" t="n">
        <v>0</v>
      </c>
      <c r="W21" s="4" t="n">
        <v>18.72</v>
      </c>
      <c r="X21" s="4" t="n">
        <v>179.03</v>
      </c>
      <c r="Y21" s="4" t="n">
        <v>188.76</v>
      </c>
      <c r="Z21" s="4" t="n">
        <v>18.79</v>
      </c>
      <c r="AA21" s="4" t="n">
        <v>1708.35</v>
      </c>
      <c r="AB21" s="4" t="n">
        <v>25.8</v>
      </c>
      <c r="AC21" s="4" t="n">
        <v>0</v>
      </c>
      <c r="AD21" s="4" t="n">
        <f aca="false">SUM(B21:AC21)</f>
        <v>4397.73</v>
      </c>
    </row>
    <row r="22" customFormat="false" ht="15" hidden="false" customHeight="false" outlineLevel="0" collapsed="false">
      <c r="A22" s="3" t="s">
        <v>66</v>
      </c>
      <c r="B22" s="5" t="n">
        <f aca="false">SUM(B15:B21)</f>
        <v>106.8</v>
      </c>
      <c r="C22" s="5" t="n">
        <f aca="false">SUM(C15:C21)</f>
        <v>7.44</v>
      </c>
      <c r="D22" s="5" t="n">
        <f aca="false">SUM(D15:D21)</f>
        <v>146.62</v>
      </c>
      <c r="E22" s="5" t="n">
        <f aca="false">SUM(E15:E21)</f>
        <v>1099.56</v>
      </c>
      <c r="F22" s="5" t="n">
        <f aca="false">SUM(F15:F21)</f>
        <v>94.11</v>
      </c>
      <c r="G22" s="5" t="n">
        <f aca="false">SUM(G15:G21)</f>
        <v>308.13</v>
      </c>
      <c r="H22" s="5" t="n">
        <f aca="false">SUM(H15:H21)</f>
        <v>214.84</v>
      </c>
      <c r="I22" s="5" t="n">
        <f aca="false">SUM(I15:I21)</f>
        <v>107.02</v>
      </c>
      <c r="J22" s="5" t="n">
        <f aca="false">SUM(J15:J21)</f>
        <v>95.82</v>
      </c>
      <c r="K22" s="5" t="n">
        <f aca="false">SUM(K15:K21)</f>
        <v>3495.12</v>
      </c>
      <c r="L22" s="5" t="n">
        <f aca="false">SUM(L15:L21)</f>
        <v>5.17</v>
      </c>
      <c r="M22" s="5" t="n">
        <f aca="false">SUM(M15:M21)</f>
        <v>800.38</v>
      </c>
      <c r="N22" s="5" t="n">
        <f aca="false">SUM(N15:N21)</f>
        <v>3.87</v>
      </c>
      <c r="O22" s="5" t="n">
        <f aca="false">SUM(O15:O21)</f>
        <v>2008.14</v>
      </c>
      <c r="P22" s="5" t="n">
        <f aca="false">SUM(P15:P21)</f>
        <v>139.43</v>
      </c>
      <c r="Q22" s="5" t="n">
        <f aca="false">SUM(Q15:Q21)</f>
        <v>2091.79</v>
      </c>
      <c r="R22" s="5" t="n">
        <f aca="false">SUM(R15:R21)</f>
        <v>3511.3</v>
      </c>
      <c r="S22" s="5" t="n">
        <f aca="false">SUM(S15:S21)</f>
        <v>575.05</v>
      </c>
      <c r="T22" s="5" t="n">
        <f aca="false">SUM(T15:T21)</f>
        <v>277.42</v>
      </c>
      <c r="U22" s="5" t="n">
        <f aca="false">SUM(U15:U21)</f>
        <v>235.98</v>
      </c>
      <c r="V22" s="5" t="n">
        <f aca="false">SUM(V15:V21)</f>
        <v>58.5</v>
      </c>
      <c r="W22" s="5" t="n">
        <f aca="false">SUM(W15:W21)</f>
        <v>415.84</v>
      </c>
      <c r="X22" s="5" t="n">
        <f aca="false">SUM(X15:X21)</f>
        <v>328.22</v>
      </c>
      <c r="Y22" s="5" t="n">
        <f aca="false">SUM(Y15:Y21)</f>
        <v>827.88</v>
      </c>
      <c r="Z22" s="5" t="n">
        <f aca="false">SUM(Z15:Z21)</f>
        <v>206.76</v>
      </c>
      <c r="AA22" s="5" t="n">
        <f aca="false">SUM(AA15:AA21)</f>
        <v>6096.17</v>
      </c>
      <c r="AB22" s="5" t="n">
        <f aca="false">SUM(AB15:AB21)</f>
        <v>260.26</v>
      </c>
      <c r="AC22" s="5" t="n">
        <f aca="false">SUM(AC15:AC21)</f>
        <v>0</v>
      </c>
      <c r="AD22" s="5" t="n">
        <f aca="false">SUM(AD15:AD21)</f>
        <v>23517.62</v>
      </c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customFormat="false" ht="15" hidden="false" customHeight="false" outlineLevel="0" collapsed="false">
      <c r="A25" s="3" t="s">
        <v>74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customFormat="false" ht="24.05" hidden="false" customHeight="false" outlineLevel="0" collapsed="false">
      <c r="A26" s="1" t="s">
        <v>65</v>
      </c>
      <c r="B26" s="1" t="s">
        <v>34</v>
      </c>
      <c r="C26" s="1" t="s">
        <v>35</v>
      </c>
      <c r="D26" s="1" t="s">
        <v>36</v>
      </c>
      <c r="E26" s="1" t="s">
        <v>37</v>
      </c>
      <c r="F26" s="1" t="s">
        <v>38</v>
      </c>
      <c r="G26" s="1" t="s">
        <v>39</v>
      </c>
      <c r="H26" s="1" t="s">
        <v>40</v>
      </c>
      <c r="I26" s="1" t="s">
        <v>41</v>
      </c>
      <c r="J26" s="1" t="s">
        <v>42</v>
      </c>
      <c r="K26" s="1" t="s">
        <v>43</v>
      </c>
      <c r="L26" s="1" t="s">
        <v>44</v>
      </c>
      <c r="M26" s="1" t="s">
        <v>45</v>
      </c>
      <c r="N26" s="1" t="s">
        <v>46</v>
      </c>
      <c r="O26" s="1" t="s">
        <v>47</v>
      </c>
      <c r="P26" s="1" t="s">
        <v>48</v>
      </c>
      <c r="Q26" s="1" t="s">
        <v>49</v>
      </c>
      <c r="R26" s="1" t="s">
        <v>50</v>
      </c>
      <c r="S26" s="1" t="s">
        <v>51</v>
      </c>
      <c r="T26" s="1" t="s">
        <v>52</v>
      </c>
      <c r="U26" s="1" t="s">
        <v>53</v>
      </c>
      <c r="V26" s="1" t="s">
        <v>54</v>
      </c>
      <c r="W26" s="1" t="s">
        <v>55</v>
      </c>
      <c r="X26" s="1" t="s">
        <v>56</v>
      </c>
      <c r="Y26" s="1" t="s">
        <v>57</v>
      </c>
      <c r="Z26" s="1" t="s">
        <v>58</v>
      </c>
      <c r="AA26" s="1" t="s">
        <v>59</v>
      </c>
      <c r="AB26" s="1" t="s">
        <v>60</v>
      </c>
      <c r="AC26" s="1" t="s">
        <v>61</v>
      </c>
      <c r="AD26" s="1" t="s">
        <v>66</v>
      </c>
    </row>
    <row r="27" customFormat="false" ht="15" hidden="false" customHeight="false" outlineLevel="0" collapsed="false">
      <c r="A27" s="2" t="s">
        <v>67</v>
      </c>
      <c r="B27" s="4" t="n">
        <v>44.27</v>
      </c>
      <c r="C27" s="4" t="n">
        <v>0.04</v>
      </c>
      <c r="D27" s="4" t="n">
        <v>0</v>
      </c>
      <c r="E27" s="4" t="n">
        <v>152.2</v>
      </c>
      <c r="F27" s="4" t="n">
        <v>0</v>
      </c>
      <c r="G27" s="4" t="n">
        <v>57.37</v>
      </c>
      <c r="H27" s="4" t="n">
        <v>12.74</v>
      </c>
      <c r="I27" s="4" t="n">
        <v>8.28</v>
      </c>
      <c r="J27" s="4" t="n">
        <v>0</v>
      </c>
      <c r="K27" s="4" t="n">
        <v>104.44</v>
      </c>
      <c r="L27" s="4" t="n">
        <v>0.11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4.65</v>
      </c>
      <c r="W27" s="4" t="n">
        <v>51.83</v>
      </c>
      <c r="X27" s="4" t="n">
        <v>0</v>
      </c>
      <c r="Y27" s="4" t="n">
        <v>202.25</v>
      </c>
      <c r="Z27" s="4" t="n">
        <v>0</v>
      </c>
      <c r="AA27" s="4" t="n">
        <v>280.28</v>
      </c>
      <c r="AB27" s="4" t="n">
        <v>94.77</v>
      </c>
      <c r="AC27" s="4" t="n">
        <v>0</v>
      </c>
      <c r="AD27" s="4" t="n">
        <f aca="false">SUM(B27:AC27)</f>
        <v>1013.23</v>
      </c>
    </row>
    <row r="28" customFormat="false" ht="15" hidden="false" customHeight="false" outlineLevel="0" collapsed="false">
      <c r="A28" s="2" t="s">
        <v>68</v>
      </c>
      <c r="B28" s="4" t="n">
        <v>37.14</v>
      </c>
      <c r="C28" s="4" t="n">
        <v>3.52</v>
      </c>
      <c r="D28" s="4" t="n">
        <v>1.32</v>
      </c>
      <c r="E28" s="4" t="n">
        <v>971.69</v>
      </c>
      <c r="F28" s="4" t="n">
        <v>0</v>
      </c>
      <c r="G28" s="4" t="n">
        <v>206.7</v>
      </c>
      <c r="H28" s="4" t="n">
        <v>146.87</v>
      </c>
      <c r="I28" s="4" t="n">
        <v>65.4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298.37</v>
      </c>
      <c r="U28" s="4" t="n">
        <v>0</v>
      </c>
      <c r="V28" s="4" t="n">
        <v>2.74</v>
      </c>
      <c r="W28" s="4" t="n">
        <v>166.96</v>
      </c>
      <c r="X28" s="4" t="n">
        <v>25.79</v>
      </c>
      <c r="Y28" s="4" t="n">
        <v>40.29</v>
      </c>
      <c r="Z28" s="4" t="n">
        <v>0</v>
      </c>
      <c r="AA28" s="4" t="n">
        <v>103.29</v>
      </c>
      <c r="AB28" s="4" t="n">
        <v>0</v>
      </c>
      <c r="AC28" s="4" t="n">
        <v>46.72</v>
      </c>
      <c r="AD28" s="4" t="n">
        <f aca="false">SUM(B28:AC28)</f>
        <v>2116.8</v>
      </c>
    </row>
    <row r="29" customFormat="false" ht="15" hidden="false" customHeight="false" outlineLevel="0" collapsed="false">
      <c r="A29" s="2" t="s">
        <v>69</v>
      </c>
      <c r="B29" s="4" t="n">
        <v>15.47</v>
      </c>
      <c r="C29" s="4" t="n">
        <v>63.49</v>
      </c>
      <c r="D29" s="4" t="n">
        <v>60.97</v>
      </c>
      <c r="E29" s="4" t="n">
        <v>134.35</v>
      </c>
      <c r="F29" s="4" t="n">
        <v>0</v>
      </c>
      <c r="G29" s="4" t="n">
        <v>24.65</v>
      </c>
      <c r="H29" s="4" t="n">
        <v>44.85</v>
      </c>
      <c r="I29" s="4" t="n">
        <v>43.25</v>
      </c>
      <c r="J29" s="4" t="n">
        <v>0</v>
      </c>
      <c r="K29" s="4" t="n">
        <v>3244.74</v>
      </c>
      <c r="L29" s="4" t="n">
        <v>12.16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20.35</v>
      </c>
      <c r="U29" s="4" t="n">
        <v>0</v>
      </c>
      <c r="V29" s="4" t="n">
        <v>34.77</v>
      </c>
      <c r="W29" s="4" t="n">
        <v>93.22</v>
      </c>
      <c r="X29" s="4" t="n">
        <v>66.4</v>
      </c>
      <c r="Y29" s="4" t="n">
        <v>109.13</v>
      </c>
      <c r="Z29" s="4" t="n">
        <v>0</v>
      </c>
      <c r="AA29" s="4" t="n">
        <v>740.25</v>
      </c>
      <c r="AB29" s="4" t="n">
        <v>53.61</v>
      </c>
      <c r="AC29" s="4" t="n">
        <v>1.77</v>
      </c>
      <c r="AD29" s="4" t="n">
        <f aca="false">SUM(B29:AC29)</f>
        <v>4763.43</v>
      </c>
    </row>
    <row r="30" customFormat="false" ht="15" hidden="false" customHeight="false" outlineLevel="0" collapsed="false">
      <c r="A30" s="2" t="s">
        <v>70</v>
      </c>
      <c r="B30" s="4" t="n">
        <v>0.51</v>
      </c>
      <c r="C30" s="4" t="n">
        <v>0.67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0.91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2186.09</v>
      </c>
      <c r="R30" s="4" t="n">
        <v>0</v>
      </c>
      <c r="S30" s="4" t="n">
        <v>0</v>
      </c>
      <c r="T30" s="4" t="n">
        <v>0</v>
      </c>
      <c r="U30" s="4" t="n">
        <v>8.02</v>
      </c>
      <c r="V30" s="4" t="n">
        <v>0</v>
      </c>
      <c r="W30" s="4" t="n">
        <v>13.74</v>
      </c>
      <c r="X30" s="4" t="n">
        <v>58.74</v>
      </c>
      <c r="Y30" s="4" t="n">
        <v>0</v>
      </c>
      <c r="Z30" s="4" t="n">
        <v>0</v>
      </c>
      <c r="AA30" s="4" t="n">
        <v>1357.08</v>
      </c>
      <c r="AB30" s="4" t="n">
        <v>6.05</v>
      </c>
      <c r="AC30" s="4" t="n">
        <v>0</v>
      </c>
      <c r="AD30" s="4" t="n">
        <f aca="false">SUM(B30:AC30)</f>
        <v>3631.81</v>
      </c>
    </row>
    <row r="31" customFormat="false" ht="15" hidden="false" customHeight="false" outlineLevel="0" collapsed="false">
      <c r="A31" s="2" t="s">
        <v>71</v>
      </c>
      <c r="B31" s="4" t="n">
        <v>0.62</v>
      </c>
      <c r="C31" s="4" t="n">
        <v>0</v>
      </c>
      <c r="D31" s="4" t="n">
        <v>0</v>
      </c>
      <c r="E31" s="4" t="n">
        <v>0</v>
      </c>
      <c r="F31" s="4" t="n">
        <v>159.43</v>
      </c>
      <c r="G31" s="4" t="n">
        <v>0</v>
      </c>
      <c r="H31" s="4" t="n">
        <v>0</v>
      </c>
      <c r="I31" s="4" t="n">
        <v>0</v>
      </c>
      <c r="J31" s="4" t="n">
        <v>4.07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3365.93</v>
      </c>
      <c r="S31" s="4" t="n">
        <v>653.83</v>
      </c>
      <c r="T31" s="4" t="n">
        <v>0</v>
      </c>
      <c r="U31" s="4" t="n">
        <v>38.81</v>
      </c>
      <c r="V31" s="4" t="n">
        <v>0</v>
      </c>
      <c r="W31" s="4" t="n">
        <v>219.81</v>
      </c>
      <c r="X31" s="4" t="n">
        <v>176.24</v>
      </c>
      <c r="Y31" s="4" t="n">
        <v>0</v>
      </c>
      <c r="Z31" s="4" t="n">
        <v>179.33</v>
      </c>
      <c r="AA31" s="4" t="n">
        <v>1298.81</v>
      </c>
      <c r="AB31" s="4" t="n">
        <v>51.76</v>
      </c>
      <c r="AC31" s="4" t="n">
        <v>0</v>
      </c>
      <c r="AD31" s="4" t="n">
        <f aca="false">SUM(B31:AC31)</f>
        <v>6148.64</v>
      </c>
    </row>
    <row r="32" customFormat="false" ht="15" hidden="false" customHeight="false" outlineLevel="0" collapsed="false">
      <c r="A32" s="2" t="s">
        <v>72</v>
      </c>
      <c r="B32" s="4" t="n">
        <v>1.42</v>
      </c>
      <c r="C32" s="4" t="n">
        <v>0.93</v>
      </c>
      <c r="D32" s="4" t="n">
        <v>0</v>
      </c>
      <c r="E32" s="4" t="n">
        <v>0</v>
      </c>
      <c r="F32" s="4" t="n">
        <v>8.63</v>
      </c>
      <c r="G32" s="4" t="n">
        <v>0</v>
      </c>
      <c r="H32" s="4" t="n">
        <v>0</v>
      </c>
      <c r="I32" s="4" t="n">
        <v>0</v>
      </c>
      <c r="J32" s="4" t="n">
        <v>6.83</v>
      </c>
      <c r="K32" s="4" t="n">
        <v>0</v>
      </c>
      <c r="L32" s="4" t="n">
        <v>0</v>
      </c>
      <c r="M32" s="4" t="n">
        <v>773.71</v>
      </c>
      <c r="N32" s="4" t="n">
        <v>2.09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20.33</v>
      </c>
      <c r="V32" s="4" t="n">
        <v>0</v>
      </c>
      <c r="W32" s="4" t="n">
        <v>23.62</v>
      </c>
      <c r="X32" s="4" t="n">
        <v>40.6</v>
      </c>
      <c r="Y32" s="4" t="n">
        <v>0</v>
      </c>
      <c r="Z32" s="4" t="n">
        <v>0</v>
      </c>
      <c r="AA32" s="4" t="n">
        <v>604.53</v>
      </c>
      <c r="AB32" s="4" t="n">
        <v>17.67</v>
      </c>
      <c r="AC32" s="4" t="n">
        <v>0</v>
      </c>
      <c r="AD32" s="4" t="n">
        <f aca="false">SUM(B32:AC32)</f>
        <v>1500.36</v>
      </c>
    </row>
    <row r="33" customFormat="false" ht="15" hidden="false" customHeight="false" outlineLevel="0" collapsed="false">
      <c r="A33" s="2" t="s">
        <v>73</v>
      </c>
      <c r="B33" s="4" t="n">
        <v>1.41</v>
      </c>
      <c r="C33" s="4" t="n">
        <v>0</v>
      </c>
      <c r="D33" s="4" t="n">
        <v>1.73</v>
      </c>
      <c r="E33" s="4" t="n">
        <v>0</v>
      </c>
      <c r="F33" s="4" t="n">
        <v>1.32</v>
      </c>
      <c r="G33" s="4" t="n">
        <v>0</v>
      </c>
      <c r="H33" s="4" t="n">
        <v>0</v>
      </c>
      <c r="I33" s="4" t="n">
        <v>0</v>
      </c>
      <c r="J33" s="4" t="n">
        <v>18.47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1964.89</v>
      </c>
      <c r="P33" s="4" t="n">
        <v>186.22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36.1</v>
      </c>
      <c r="V33" s="4" t="n">
        <v>0</v>
      </c>
      <c r="W33" s="4" t="n">
        <v>52.29</v>
      </c>
      <c r="X33" s="4" t="n">
        <v>367.53</v>
      </c>
      <c r="Y33" s="4" t="n">
        <v>0</v>
      </c>
      <c r="Z33" s="4" t="n">
        <v>10.03</v>
      </c>
      <c r="AA33" s="4" t="n">
        <v>1725.19</v>
      </c>
      <c r="AB33" s="4" t="n">
        <v>38.54</v>
      </c>
      <c r="AC33" s="4" t="n">
        <v>0</v>
      </c>
      <c r="AD33" s="4" t="n">
        <f aca="false">SUM(B33:AC33)</f>
        <v>4403.72</v>
      </c>
    </row>
    <row r="34" customFormat="false" ht="15" hidden="false" customHeight="false" outlineLevel="0" collapsed="false">
      <c r="A34" s="3" t="s">
        <v>66</v>
      </c>
      <c r="B34" s="5" t="n">
        <f aca="false">SUM(B27:B33)</f>
        <v>100.84</v>
      </c>
      <c r="C34" s="5" t="n">
        <f aca="false">SUM(C27:C33)</f>
        <v>68.65</v>
      </c>
      <c r="D34" s="5" t="n">
        <f aca="false">SUM(D27:D33)</f>
        <v>64.02</v>
      </c>
      <c r="E34" s="5" t="n">
        <f aca="false">SUM(E27:E33)</f>
        <v>1258.24</v>
      </c>
      <c r="F34" s="5" t="n">
        <f aca="false">SUM(F27:F33)</f>
        <v>169.38</v>
      </c>
      <c r="G34" s="5" t="n">
        <f aca="false">SUM(G27:G33)</f>
        <v>288.72</v>
      </c>
      <c r="H34" s="5" t="n">
        <f aca="false">SUM(H27:H33)</f>
        <v>204.46</v>
      </c>
      <c r="I34" s="5" t="n">
        <f aca="false">SUM(I27:I33)</f>
        <v>116.93</v>
      </c>
      <c r="J34" s="5" t="n">
        <f aca="false">SUM(J27:J33)</f>
        <v>30.28</v>
      </c>
      <c r="K34" s="5" t="n">
        <f aca="false">SUM(K27:K33)</f>
        <v>3349.18</v>
      </c>
      <c r="L34" s="5" t="n">
        <f aca="false">SUM(L27:L33)</f>
        <v>12.27</v>
      </c>
      <c r="M34" s="5" t="n">
        <f aca="false">SUM(M27:M33)</f>
        <v>773.71</v>
      </c>
      <c r="N34" s="5" t="n">
        <f aca="false">SUM(N27:N33)</f>
        <v>2.09</v>
      </c>
      <c r="O34" s="5" t="n">
        <f aca="false">SUM(O27:O33)</f>
        <v>1964.89</v>
      </c>
      <c r="P34" s="5" t="n">
        <f aca="false">SUM(P27:P33)</f>
        <v>186.22</v>
      </c>
      <c r="Q34" s="5" t="n">
        <f aca="false">SUM(Q27:Q33)</f>
        <v>2186.09</v>
      </c>
      <c r="R34" s="5" t="n">
        <f aca="false">SUM(R27:R33)</f>
        <v>3365.93</v>
      </c>
      <c r="S34" s="5" t="n">
        <f aca="false">SUM(S27:S33)</f>
        <v>653.83</v>
      </c>
      <c r="T34" s="5" t="n">
        <f aca="false">SUM(T27:T33)</f>
        <v>318.72</v>
      </c>
      <c r="U34" s="5" t="n">
        <f aca="false">SUM(U27:U33)</f>
        <v>103.26</v>
      </c>
      <c r="V34" s="5" t="n">
        <f aca="false">SUM(V27:V33)</f>
        <v>42.16</v>
      </c>
      <c r="W34" s="5" t="n">
        <f aca="false">SUM(W27:W33)</f>
        <v>621.47</v>
      </c>
      <c r="X34" s="5" t="n">
        <f aca="false">SUM(X27:X33)</f>
        <v>735.3</v>
      </c>
      <c r="Y34" s="5" t="n">
        <f aca="false">SUM(Y27:Y33)</f>
        <v>351.67</v>
      </c>
      <c r="Z34" s="5" t="n">
        <f aca="false">SUM(Z27:Z33)</f>
        <v>189.36</v>
      </c>
      <c r="AA34" s="5" t="n">
        <f aca="false">SUM(AA27:AA33)</f>
        <v>6109.43</v>
      </c>
      <c r="AB34" s="5" t="n">
        <f aca="false">SUM(AB27:AB33)</f>
        <v>262.4</v>
      </c>
      <c r="AC34" s="5" t="n">
        <f aca="false">SUM(AC27:AC33)</f>
        <v>48.49</v>
      </c>
      <c r="AD34" s="5" t="n">
        <f aca="false">SUM(AD27:AD33)</f>
        <v>23577.99</v>
      </c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customFormat="false" ht="15" hidden="false" customHeight="false" outlineLevel="0" collapsed="false">
      <c r="A37" s="3" t="s">
        <v>75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customFormat="false" ht="24.05" hidden="false" customHeight="false" outlineLevel="0" collapsed="false">
      <c r="A38" s="1" t="s">
        <v>65</v>
      </c>
      <c r="B38" s="1" t="s">
        <v>34</v>
      </c>
      <c r="C38" s="1" t="s">
        <v>35</v>
      </c>
      <c r="D38" s="1" t="s">
        <v>36</v>
      </c>
      <c r="E38" s="1" t="s">
        <v>37</v>
      </c>
      <c r="F38" s="1" t="s">
        <v>38</v>
      </c>
      <c r="G38" s="1" t="s">
        <v>39</v>
      </c>
      <c r="H38" s="1" t="s">
        <v>40</v>
      </c>
      <c r="I38" s="1" t="s">
        <v>41</v>
      </c>
      <c r="J38" s="1" t="s">
        <v>42</v>
      </c>
      <c r="K38" s="1" t="s">
        <v>43</v>
      </c>
      <c r="L38" s="1" t="s">
        <v>44</v>
      </c>
      <c r="M38" s="1" t="s">
        <v>45</v>
      </c>
      <c r="N38" s="1" t="s">
        <v>46</v>
      </c>
      <c r="O38" s="1" t="s">
        <v>47</v>
      </c>
      <c r="P38" s="1" t="s">
        <v>48</v>
      </c>
      <c r="Q38" s="1" t="s">
        <v>49</v>
      </c>
      <c r="R38" s="1" t="s">
        <v>50</v>
      </c>
      <c r="S38" s="1" t="s">
        <v>51</v>
      </c>
      <c r="T38" s="1" t="s">
        <v>52</v>
      </c>
      <c r="U38" s="1" t="s">
        <v>53</v>
      </c>
      <c r="V38" s="1" t="s">
        <v>54</v>
      </c>
      <c r="W38" s="1" t="s">
        <v>55</v>
      </c>
      <c r="X38" s="1" t="s">
        <v>56</v>
      </c>
      <c r="Y38" s="1" t="s">
        <v>57</v>
      </c>
      <c r="Z38" s="1" t="s">
        <v>58</v>
      </c>
      <c r="AA38" s="1" t="s">
        <v>59</v>
      </c>
      <c r="AB38" s="1" t="s">
        <v>60</v>
      </c>
      <c r="AC38" s="1" t="s">
        <v>61</v>
      </c>
      <c r="AD38" s="1" t="s">
        <v>66</v>
      </c>
    </row>
    <row r="39" customFormat="false" ht="15" hidden="false" customHeight="false" outlineLevel="0" collapsed="false">
      <c r="A39" s="2" t="s">
        <v>67</v>
      </c>
      <c r="B39" s="4" t="n">
        <f aca="false">B3-B15</f>
        <v>-18.45</v>
      </c>
      <c r="C39" s="4" t="n">
        <f aca="false">C3-C15</f>
        <v>-1.06</v>
      </c>
      <c r="D39" s="4" t="n">
        <f aca="false">D3-D15</f>
        <v>0</v>
      </c>
      <c r="E39" s="4" t="n">
        <f aca="false">E3-E15</f>
        <v>25.05</v>
      </c>
      <c r="F39" s="4" t="n">
        <f aca="false">F3-F15</f>
        <v>0</v>
      </c>
      <c r="G39" s="4" t="n">
        <f aca="false">G3-G15</f>
        <v>10.52</v>
      </c>
      <c r="H39" s="4" t="n">
        <f aca="false">H3-H15</f>
        <v>-6.82</v>
      </c>
      <c r="I39" s="4" t="n">
        <f aca="false">I3-I15</f>
        <v>-2.61</v>
      </c>
      <c r="J39" s="4" t="n">
        <f aca="false">J3-J15</f>
        <v>0</v>
      </c>
      <c r="K39" s="4" t="n">
        <f aca="false">K3-K15</f>
        <v>0.0300000000000011</v>
      </c>
      <c r="L39" s="4" t="n">
        <f aca="false">L3-L15</f>
        <v>-0.01</v>
      </c>
      <c r="M39" s="4" t="n">
        <f aca="false">M3-M15</f>
        <v>0</v>
      </c>
      <c r="N39" s="4" t="n">
        <f aca="false">N3-N15</f>
        <v>0</v>
      </c>
      <c r="O39" s="4" t="n">
        <f aca="false">O3-O15</f>
        <v>0</v>
      </c>
      <c r="P39" s="4" t="n">
        <f aca="false">P3-P15</f>
        <v>0</v>
      </c>
      <c r="Q39" s="4" t="n">
        <f aca="false">Q3-Q15</f>
        <v>0</v>
      </c>
      <c r="R39" s="4" t="n">
        <f aca="false">R3-R15</f>
        <v>0</v>
      </c>
      <c r="S39" s="4" t="n">
        <f aca="false">S3-S15</f>
        <v>0</v>
      </c>
      <c r="T39" s="4" t="n">
        <f aca="false">T3-T15</f>
        <v>0</v>
      </c>
      <c r="U39" s="4" t="n">
        <f aca="false">U3-U15</f>
        <v>0</v>
      </c>
      <c r="V39" s="4" t="n">
        <f aca="false">V3-V15</f>
        <v>3.19</v>
      </c>
      <c r="W39" s="4" t="n">
        <f aca="false">W3-W15</f>
        <v>-9.23</v>
      </c>
      <c r="X39" s="4" t="n">
        <f aca="false">X3-X15</f>
        <v>-1</v>
      </c>
      <c r="Y39" s="4" t="n">
        <f aca="false">Y3-Y15</f>
        <v>-32.88</v>
      </c>
      <c r="Z39" s="4" t="n">
        <f aca="false">Z3-Z15</f>
        <v>0</v>
      </c>
      <c r="AA39" s="4" t="n">
        <f aca="false">AA3-AA15</f>
        <v>14.28</v>
      </c>
      <c r="AB39" s="4" t="n">
        <f aca="false">AB3-AB15</f>
        <v>16.32</v>
      </c>
      <c r="AC39" s="4" t="n">
        <f aca="false">AC3-AC15</f>
        <v>0</v>
      </c>
      <c r="AD39" s="4" t="n">
        <f aca="false">SUM(B39:AC39)</f>
        <v>-2.67000000000001</v>
      </c>
    </row>
    <row r="40" customFormat="false" ht="15" hidden="false" customHeight="false" outlineLevel="0" collapsed="false">
      <c r="A40" s="2" t="s">
        <v>68</v>
      </c>
      <c r="B40" s="4" t="n">
        <f aca="false">B4-B16</f>
        <v>-17.45</v>
      </c>
      <c r="C40" s="4" t="n">
        <f aca="false">C4-C16</f>
        <v>0</v>
      </c>
      <c r="D40" s="4" t="n">
        <f aca="false">D4-D16</f>
        <v>0.32</v>
      </c>
      <c r="E40" s="4" t="n">
        <f aca="false">E4-E16</f>
        <v>34</v>
      </c>
      <c r="F40" s="4" t="n">
        <f aca="false">F4-F16</f>
        <v>0</v>
      </c>
      <c r="G40" s="4" t="n">
        <f aca="false">G4-G16</f>
        <v>12.9</v>
      </c>
      <c r="H40" s="4" t="n">
        <f aca="false">H4-H16</f>
        <v>-15.7</v>
      </c>
      <c r="I40" s="4" t="n">
        <f aca="false">I4-I16</f>
        <v>0.109999999999999</v>
      </c>
      <c r="J40" s="4" t="n">
        <f aca="false">J4-J16</f>
        <v>0</v>
      </c>
      <c r="K40" s="4" t="n">
        <f aca="false">K4-K16</f>
        <v>-5.8</v>
      </c>
      <c r="L40" s="4" t="n">
        <f aca="false">L4-L16</f>
        <v>-0.34</v>
      </c>
      <c r="M40" s="4" t="n">
        <f aca="false">M4-M16</f>
        <v>0</v>
      </c>
      <c r="N40" s="4" t="n">
        <f aca="false">N4-N16</f>
        <v>0</v>
      </c>
      <c r="O40" s="4" t="n">
        <f aca="false">O4-O16</f>
        <v>0</v>
      </c>
      <c r="P40" s="4" t="n">
        <f aca="false">P4-P16</f>
        <v>0</v>
      </c>
      <c r="Q40" s="4" t="n">
        <f aca="false">Q4-Q16</f>
        <v>0</v>
      </c>
      <c r="R40" s="4" t="n">
        <f aca="false">R4-R16</f>
        <v>0</v>
      </c>
      <c r="S40" s="4" t="n">
        <f aca="false">S4-S16</f>
        <v>0</v>
      </c>
      <c r="T40" s="4" t="n">
        <f aca="false">T4-T16</f>
        <v>22.31</v>
      </c>
      <c r="U40" s="4" t="n">
        <f aca="false">U4-U16</f>
        <v>0</v>
      </c>
      <c r="V40" s="4" t="n">
        <f aca="false">V4-V16</f>
        <v>-0.5</v>
      </c>
      <c r="W40" s="4" t="n">
        <f aca="false">W4-W16</f>
        <v>-5.02000000000001</v>
      </c>
      <c r="X40" s="4" t="n">
        <f aca="false">X4-X16</f>
        <v>-11.9</v>
      </c>
      <c r="Y40" s="4" t="n">
        <f aca="false">Y4-Y16</f>
        <v>-19.38</v>
      </c>
      <c r="Z40" s="4" t="n">
        <f aca="false">Z4-Z16</f>
        <v>0</v>
      </c>
      <c r="AA40" s="4" t="n">
        <f aca="false">AA4-AA16</f>
        <v>-5.66000000000001</v>
      </c>
      <c r="AB40" s="4" t="n">
        <f aca="false">AB4-AB16</f>
        <v>10.14</v>
      </c>
      <c r="AC40" s="4" t="n">
        <f aca="false">AC4-AC16</f>
        <v>0</v>
      </c>
      <c r="AD40" s="4" t="n">
        <f aca="false">SUM(B40:AC40)</f>
        <v>-1.97</v>
      </c>
    </row>
    <row r="41" customFormat="false" ht="15" hidden="false" customHeight="false" outlineLevel="0" collapsed="false">
      <c r="A41" s="2" t="s">
        <v>69</v>
      </c>
      <c r="B41" s="4" t="n">
        <f aca="false">B5-B17</f>
        <v>-5.58</v>
      </c>
      <c r="C41" s="4" t="n">
        <f aca="false">C5-C17</f>
        <v>-4.48</v>
      </c>
      <c r="D41" s="4" t="n">
        <f aca="false">D5-D17</f>
        <v>42.85</v>
      </c>
      <c r="E41" s="4" t="n">
        <f aca="false">E5-E17</f>
        <v>8.15000000000001</v>
      </c>
      <c r="F41" s="4" t="n">
        <f aca="false">F5-F17</f>
        <v>0</v>
      </c>
      <c r="G41" s="4" t="n">
        <f aca="false">G5-G17</f>
        <v>2.9</v>
      </c>
      <c r="H41" s="4" t="n">
        <f aca="false">H5-H17</f>
        <v>-5.41</v>
      </c>
      <c r="I41" s="4" t="n">
        <f aca="false">I5-I17</f>
        <v>-9.22000000000001</v>
      </c>
      <c r="J41" s="4" t="n">
        <f aca="false">J5-J17</f>
        <v>0</v>
      </c>
      <c r="K41" s="4" t="n">
        <f aca="false">K5-K17</f>
        <v>-32.0500000000002</v>
      </c>
      <c r="L41" s="4" t="n">
        <f aca="false">L5-L17</f>
        <v>-0.609999999999999</v>
      </c>
      <c r="M41" s="4" t="n">
        <f aca="false">M5-M17</f>
        <v>0</v>
      </c>
      <c r="N41" s="4" t="n">
        <f aca="false">N5-N17</f>
        <v>0</v>
      </c>
      <c r="O41" s="4" t="n">
        <f aca="false">O5-O17</f>
        <v>0</v>
      </c>
      <c r="P41" s="4" t="n">
        <f aca="false">P5-P17</f>
        <v>0</v>
      </c>
      <c r="Q41" s="4" t="n">
        <f aca="false">Q5-Q17</f>
        <v>0</v>
      </c>
      <c r="R41" s="4" t="n">
        <f aca="false">R5-R17</f>
        <v>0</v>
      </c>
      <c r="S41" s="4" t="n">
        <f aca="false">S5-S17</f>
        <v>0</v>
      </c>
      <c r="T41" s="4" t="n">
        <f aca="false">T5-T17</f>
        <v>5.05</v>
      </c>
      <c r="U41" s="4" t="n">
        <f aca="false">U5-U17</f>
        <v>0</v>
      </c>
      <c r="V41" s="4" t="n">
        <f aca="false">V5-V17</f>
        <v>-0.719999999999999</v>
      </c>
      <c r="W41" s="4" t="n">
        <f aca="false">W5-W17</f>
        <v>-8.15000000000001</v>
      </c>
      <c r="X41" s="4" t="n">
        <f aca="false">X5-X17</f>
        <v>-5</v>
      </c>
      <c r="Y41" s="4" t="n">
        <f aca="false">Y5-Y17</f>
        <v>-4.34</v>
      </c>
      <c r="Z41" s="4" t="n">
        <f aca="false">Z5-Z17</f>
        <v>0</v>
      </c>
      <c r="AA41" s="4" t="n">
        <f aca="false">AA5-AA17</f>
        <v>16.89</v>
      </c>
      <c r="AB41" s="4" t="n">
        <f aca="false">AB5-AB17</f>
        <v>0.45</v>
      </c>
      <c r="AC41" s="4" t="n">
        <f aca="false">AC5-AC17</f>
        <v>0</v>
      </c>
      <c r="AD41" s="4" t="n">
        <f aca="false">SUM(B41:AC41)</f>
        <v>0.729999999999789</v>
      </c>
    </row>
    <row r="42" customFormat="false" ht="15" hidden="false" customHeight="false" outlineLevel="0" collapsed="false">
      <c r="A42" s="2" t="s">
        <v>70</v>
      </c>
      <c r="B42" s="4" t="n">
        <f aca="false">B6-B18</f>
        <v>0</v>
      </c>
      <c r="C42" s="4" t="n">
        <f aca="false">C6-C18</f>
        <v>0</v>
      </c>
      <c r="D42" s="4" t="n">
        <f aca="false">D6-D18</f>
        <v>0</v>
      </c>
      <c r="E42" s="4" t="n">
        <f aca="false">E6-E18</f>
        <v>0</v>
      </c>
      <c r="F42" s="4" t="n">
        <f aca="false">F6-F18</f>
        <v>0</v>
      </c>
      <c r="G42" s="4" t="n">
        <f aca="false">G6-G18</f>
        <v>0</v>
      </c>
      <c r="H42" s="4" t="n">
        <f aca="false">H6-H18</f>
        <v>0</v>
      </c>
      <c r="I42" s="4" t="n">
        <f aca="false">I6-I18</f>
        <v>0</v>
      </c>
      <c r="J42" s="4" t="n">
        <f aca="false">J6-J18</f>
        <v>-0.280000000000001</v>
      </c>
      <c r="K42" s="4" t="n">
        <f aca="false">K6-K18</f>
        <v>0</v>
      </c>
      <c r="L42" s="4" t="n">
        <f aca="false">L6-L18</f>
        <v>0</v>
      </c>
      <c r="M42" s="4" t="n">
        <f aca="false">M6-M18</f>
        <v>0</v>
      </c>
      <c r="N42" s="4" t="n">
        <f aca="false">N6-N18</f>
        <v>0</v>
      </c>
      <c r="O42" s="4" t="n">
        <f aca="false">O6-O18</f>
        <v>0</v>
      </c>
      <c r="P42" s="4" t="n">
        <f aca="false">P6-P18</f>
        <v>0</v>
      </c>
      <c r="Q42" s="4" t="n">
        <f aca="false">Q6-Q18</f>
        <v>7.09999999999991</v>
      </c>
      <c r="R42" s="4" t="n">
        <f aca="false">R6-R18</f>
        <v>0</v>
      </c>
      <c r="S42" s="4" t="n">
        <f aca="false">S6-S18</f>
        <v>0</v>
      </c>
      <c r="T42" s="4" t="n">
        <f aca="false">T6-T18</f>
        <v>0</v>
      </c>
      <c r="U42" s="4" t="n">
        <f aca="false">U6-U18</f>
        <v>-2.64</v>
      </c>
      <c r="V42" s="4" t="n">
        <f aca="false">V6-V18</f>
        <v>0</v>
      </c>
      <c r="W42" s="4" t="n">
        <f aca="false">W6-W18</f>
        <v>-14.05</v>
      </c>
      <c r="X42" s="4" t="n">
        <f aca="false">X6-X18</f>
        <v>-0.18</v>
      </c>
      <c r="Y42" s="4" t="n">
        <f aca="false">Y6-Y18</f>
        <v>1.83</v>
      </c>
      <c r="Z42" s="4" t="n">
        <f aca="false">Z6-Z18</f>
        <v>0</v>
      </c>
      <c r="AA42" s="4" t="n">
        <f aca="false">AA6-AA18</f>
        <v>11.8099999999999</v>
      </c>
      <c r="AB42" s="4" t="n">
        <f aca="false">AB6-AB18</f>
        <v>-0.94</v>
      </c>
      <c r="AC42" s="4" t="n">
        <f aca="false">AC6-AC18</f>
        <v>0</v>
      </c>
      <c r="AD42" s="4" t="n">
        <f aca="false">SUM(B42:AC42)</f>
        <v>2.64999999999986</v>
      </c>
    </row>
    <row r="43" customFormat="false" ht="15" hidden="false" customHeight="false" outlineLevel="0" collapsed="false">
      <c r="A43" s="2" t="s">
        <v>71</v>
      </c>
      <c r="B43" s="4" t="n">
        <f aca="false">B7-B19</f>
        <v>0</v>
      </c>
      <c r="C43" s="4" t="n">
        <f aca="false">C7-C19</f>
        <v>0</v>
      </c>
      <c r="D43" s="4" t="n">
        <f aca="false">D7-D19</f>
        <v>0</v>
      </c>
      <c r="E43" s="4" t="n">
        <f aca="false">E7-E19</f>
        <v>-7.48</v>
      </c>
      <c r="F43" s="4" t="n">
        <f aca="false">F7-F19</f>
        <v>17.52</v>
      </c>
      <c r="G43" s="4" t="n">
        <f aca="false">G7-G19</f>
        <v>-3.72</v>
      </c>
      <c r="H43" s="4" t="n">
        <f aca="false">H7-H19</f>
        <v>0</v>
      </c>
      <c r="I43" s="4" t="n">
        <f aca="false">I7-I19</f>
        <v>0</v>
      </c>
      <c r="J43" s="4" t="n">
        <f aca="false">J7-J19</f>
        <v>9</v>
      </c>
      <c r="K43" s="4" t="n">
        <f aca="false">K7-K19</f>
        <v>0</v>
      </c>
      <c r="L43" s="4" t="n">
        <f aca="false">L7-L19</f>
        <v>0</v>
      </c>
      <c r="M43" s="4" t="n">
        <f aca="false">M7-M19</f>
        <v>0</v>
      </c>
      <c r="N43" s="4" t="n">
        <f aca="false">N7-N19</f>
        <v>0</v>
      </c>
      <c r="O43" s="4" t="n">
        <f aca="false">O7-O19</f>
        <v>0</v>
      </c>
      <c r="P43" s="4" t="n">
        <f aca="false">P7-P19</f>
        <v>0</v>
      </c>
      <c r="Q43" s="4" t="n">
        <f aca="false">Q7-Q19</f>
        <v>0</v>
      </c>
      <c r="R43" s="4" t="n">
        <f aca="false">R7-R19</f>
        <v>-49.1500000000001</v>
      </c>
      <c r="S43" s="4" t="n">
        <f aca="false">S7-S19</f>
        <v>-48.3599999999999</v>
      </c>
      <c r="T43" s="4" t="n">
        <f aca="false">T7-T19</f>
        <v>0</v>
      </c>
      <c r="U43" s="4" t="n">
        <f aca="false">U7-U19</f>
        <v>-12.02</v>
      </c>
      <c r="V43" s="4" t="n">
        <f aca="false">V7-V19</f>
        <v>0</v>
      </c>
      <c r="W43" s="4" t="n">
        <f aca="false">W7-W19</f>
        <v>-23.48</v>
      </c>
      <c r="X43" s="4" t="n">
        <f aca="false">X7-X19</f>
        <v>-13.59</v>
      </c>
      <c r="Y43" s="4" t="n">
        <f aca="false">Y7-Y19</f>
        <v>-40.83</v>
      </c>
      <c r="Z43" s="4" t="n">
        <f aca="false">Z7-Z19</f>
        <v>82.1</v>
      </c>
      <c r="AA43" s="4" t="n">
        <f aca="false">AA7-AA19</f>
        <v>79.03</v>
      </c>
      <c r="AB43" s="4" t="n">
        <f aca="false">AB7-AB19</f>
        <v>12.26</v>
      </c>
      <c r="AC43" s="4" t="n">
        <f aca="false">AC7-AC19</f>
        <v>0</v>
      </c>
      <c r="AD43" s="4" t="n">
        <f aca="false">SUM(B43:AC43)</f>
        <v>1.27999999999997</v>
      </c>
    </row>
    <row r="44" customFormat="false" ht="15" hidden="false" customHeight="false" outlineLevel="0" collapsed="false">
      <c r="A44" s="2" t="s">
        <v>72</v>
      </c>
      <c r="B44" s="4" t="n">
        <f aca="false">B8-B20</f>
        <v>0</v>
      </c>
      <c r="C44" s="4" t="n">
        <f aca="false">C8-C20</f>
        <v>-0.07</v>
      </c>
      <c r="D44" s="4" t="n">
        <f aca="false">D8-D20</f>
        <v>4.17</v>
      </c>
      <c r="E44" s="4" t="n">
        <f aca="false">E8-E20</f>
        <v>-0.12</v>
      </c>
      <c r="F44" s="4" t="n">
        <f aca="false">F8-F20</f>
        <v>-1.03</v>
      </c>
      <c r="G44" s="4" t="n">
        <f aca="false">G8-G20</f>
        <v>0.06</v>
      </c>
      <c r="H44" s="4" t="n">
        <f aca="false">H8-H20</f>
        <v>0</v>
      </c>
      <c r="I44" s="4" t="n">
        <f aca="false">I8-I20</f>
        <v>0</v>
      </c>
      <c r="J44" s="4" t="n">
        <f aca="false">J8-J20</f>
        <v>-4.47</v>
      </c>
      <c r="K44" s="4" t="n">
        <f aca="false">K8-K20</f>
        <v>0</v>
      </c>
      <c r="L44" s="4" t="n">
        <f aca="false">L8-L20</f>
        <v>0</v>
      </c>
      <c r="M44" s="4" t="n">
        <f aca="false">M8-M20</f>
        <v>4.15999999999997</v>
      </c>
      <c r="N44" s="4" t="n">
        <f aca="false">N8-N20</f>
        <v>-0.44</v>
      </c>
      <c r="O44" s="4" t="n">
        <f aca="false">O8-O20</f>
        <v>0</v>
      </c>
      <c r="P44" s="4" t="n">
        <f aca="false">P8-P20</f>
        <v>0</v>
      </c>
      <c r="Q44" s="4" t="n">
        <f aca="false">Q8-Q20</f>
        <v>0</v>
      </c>
      <c r="R44" s="4" t="n">
        <f aca="false">R8-R20</f>
        <v>0</v>
      </c>
      <c r="S44" s="4" t="n">
        <f aca="false">S8-S20</f>
        <v>0</v>
      </c>
      <c r="T44" s="4" t="n">
        <f aca="false">T8-T20</f>
        <v>0</v>
      </c>
      <c r="U44" s="4" t="n">
        <f aca="false">U8-U20</f>
        <v>-14.66</v>
      </c>
      <c r="V44" s="4" t="n">
        <f aca="false">V8-V20</f>
        <v>0</v>
      </c>
      <c r="W44" s="4" t="n">
        <f aca="false">W8-W20</f>
        <v>-4.49</v>
      </c>
      <c r="X44" s="4" t="n">
        <f aca="false">X8-X20</f>
        <v>-5.28</v>
      </c>
      <c r="Y44" s="4" t="n">
        <f aca="false">Y8-Y20</f>
        <v>13.44</v>
      </c>
      <c r="Z44" s="4" t="n">
        <f aca="false">Z8-Z20</f>
        <v>4.75</v>
      </c>
      <c r="AA44" s="4" t="n">
        <f aca="false">AA8-AA20</f>
        <v>-0.169999999999959</v>
      </c>
      <c r="AB44" s="4" t="n">
        <f aca="false">AB8-AB20</f>
        <v>4.22</v>
      </c>
      <c r="AC44" s="4" t="n">
        <f aca="false">AC8-AC20</f>
        <v>0</v>
      </c>
      <c r="AD44" s="4" t="n">
        <f aca="false">SUM(B44:AC44)</f>
        <v>0.0700000000000056</v>
      </c>
    </row>
    <row r="45" customFormat="false" ht="15" hidden="false" customHeight="false" outlineLevel="0" collapsed="false">
      <c r="A45" s="2" t="s">
        <v>73</v>
      </c>
      <c r="B45" s="4" t="n">
        <f aca="false">B9-B21</f>
        <v>0</v>
      </c>
      <c r="C45" s="4" t="n">
        <f aca="false">C9-C21</f>
        <v>0</v>
      </c>
      <c r="D45" s="4" t="n">
        <f aca="false">D9-D21</f>
        <v>0</v>
      </c>
      <c r="E45" s="4" t="n">
        <f aca="false">E9-E21</f>
        <v>0</v>
      </c>
      <c r="F45" s="4" t="n">
        <f aca="false">F9-F21</f>
        <v>0.22</v>
      </c>
      <c r="G45" s="4" t="n">
        <f aca="false">G9-G21</f>
        <v>0.05</v>
      </c>
      <c r="H45" s="4" t="n">
        <f aca="false">H9-H21</f>
        <v>-0.24</v>
      </c>
      <c r="I45" s="4" t="n">
        <f aca="false">I9-I21</f>
        <v>0</v>
      </c>
      <c r="J45" s="4" t="n">
        <f aca="false">J9-J21</f>
        <v>7.43</v>
      </c>
      <c r="K45" s="4" t="n">
        <f aca="false">K9-K21</f>
        <v>0</v>
      </c>
      <c r="L45" s="4" t="n">
        <f aca="false">L9-L21</f>
        <v>0</v>
      </c>
      <c r="M45" s="4" t="n">
        <f aca="false">M9-M21</f>
        <v>0</v>
      </c>
      <c r="N45" s="4" t="n">
        <f aca="false">N9-N21</f>
        <v>0</v>
      </c>
      <c r="O45" s="4" t="n">
        <f aca="false">O9-O21</f>
        <v>-14.9200000000001</v>
      </c>
      <c r="P45" s="4" t="n">
        <f aca="false">P9-P21</f>
        <v>-2.46000000000001</v>
      </c>
      <c r="Q45" s="4" t="n">
        <f aca="false">Q9-Q21</f>
        <v>0</v>
      </c>
      <c r="R45" s="4" t="n">
        <f aca="false">R9-R21</f>
        <v>0</v>
      </c>
      <c r="S45" s="4" t="n">
        <f aca="false">S9-S21</f>
        <v>0</v>
      </c>
      <c r="T45" s="4" t="n">
        <f aca="false">T9-T21</f>
        <v>0</v>
      </c>
      <c r="U45" s="4" t="n">
        <f aca="false">U9-U21</f>
        <v>-20.83</v>
      </c>
      <c r="V45" s="4" t="n">
        <f aca="false">V9-V21</f>
        <v>0</v>
      </c>
      <c r="W45" s="4" t="n">
        <f aca="false">W9-W21</f>
        <v>-9.01</v>
      </c>
      <c r="X45" s="4" t="n">
        <f aca="false">X9-X21</f>
        <v>-6.27000000000001</v>
      </c>
      <c r="Y45" s="4" t="n">
        <f aca="false">Y9-Y21</f>
        <v>10.53</v>
      </c>
      <c r="Z45" s="4" t="n">
        <f aca="false">Z9-Z21</f>
        <v>8.11</v>
      </c>
      <c r="AA45" s="4" t="n">
        <f aca="false">AA9-AA21</f>
        <v>30.8800000000001</v>
      </c>
      <c r="AB45" s="4" t="n">
        <f aca="false">AB9-AB21</f>
        <v>-1.75</v>
      </c>
      <c r="AC45" s="4" t="n">
        <f aca="false">AC9-AC21</f>
        <v>0</v>
      </c>
      <c r="AD45" s="4" t="n">
        <f aca="false">SUM(B45:AC45)</f>
        <v>1.74000000000002</v>
      </c>
    </row>
    <row r="46" customFormat="false" ht="15" hidden="false" customHeight="false" outlineLevel="0" collapsed="false">
      <c r="A46" s="3" t="s">
        <v>66</v>
      </c>
      <c r="B46" s="5" t="n">
        <f aca="false">SUM(B39:B45)</f>
        <v>-41.48</v>
      </c>
      <c r="C46" s="5" t="n">
        <f aca="false">SUM(C39:C45)</f>
        <v>-5.61</v>
      </c>
      <c r="D46" s="5" t="n">
        <f aca="false">SUM(D39:D45)</f>
        <v>47.34</v>
      </c>
      <c r="E46" s="5" t="n">
        <f aca="false">SUM(E39:E45)</f>
        <v>59.6</v>
      </c>
      <c r="F46" s="5" t="n">
        <f aca="false">SUM(F39:F45)</f>
        <v>16.71</v>
      </c>
      <c r="G46" s="5" t="n">
        <f aca="false">SUM(G39:G45)</f>
        <v>22.71</v>
      </c>
      <c r="H46" s="5" t="n">
        <f aca="false">SUM(H39:H45)</f>
        <v>-28.17</v>
      </c>
      <c r="I46" s="5" t="n">
        <f aca="false">SUM(I39:I45)</f>
        <v>-11.72</v>
      </c>
      <c r="J46" s="5" t="n">
        <f aca="false">SUM(J39:J45)</f>
        <v>11.68</v>
      </c>
      <c r="K46" s="5" t="n">
        <f aca="false">SUM(K39:K45)</f>
        <v>-37.8200000000002</v>
      </c>
      <c r="L46" s="5" t="n">
        <f aca="false">SUM(L39:L45)</f>
        <v>-0.96</v>
      </c>
      <c r="M46" s="5" t="n">
        <f aca="false">SUM(M39:M45)</f>
        <v>4.15999999999997</v>
      </c>
      <c r="N46" s="5" t="n">
        <f aca="false">SUM(N39:N45)</f>
        <v>-0.44</v>
      </c>
      <c r="O46" s="5" t="n">
        <f aca="false">SUM(O39:O45)</f>
        <v>-14.9200000000001</v>
      </c>
      <c r="P46" s="5" t="n">
        <f aca="false">SUM(P39:P45)</f>
        <v>-2.46000000000001</v>
      </c>
      <c r="Q46" s="5" t="n">
        <f aca="false">SUM(Q39:Q45)</f>
        <v>7.09999999999991</v>
      </c>
      <c r="R46" s="5" t="n">
        <f aca="false">SUM(R39:R45)</f>
        <v>-49.1500000000001</v>
      </c>
      <c r="S46" s="5" t="n">
        <f aca="false">SUM(S39:S45)</f>
        <v>-48.3599999999999</v>
      </c>
      <c r="T46" s="5" t="n">
        <f aca="false">SUM(T39:T45)</f>
        <v>27.36</v>
      </c>
      <c r="U46" s="5" t="n">
        <f aca="false">SUM(U39:U45)</f>
        <v>-50.15</v>
      </c>
      <c r="V46" s="5" t="n">
        <f aca="false">SUM(V39:V45)</f>
        <v>1.97</v>
      </c>
      <c r="W46" s="5" t="n">
        <f aca="false">SUM(W39:W45)</f>
        <v>-73.43</v>
      </c>
      <c r="X46" s="5" t="n">
        <f aca="false">SUM(X39:X45)</f>
        <v>-43.22</v>
      </c>
      <c r="Y46" s="5" t="n">
        <f aca="false">SUM(Y39:Y45)</f>
        <v>-71.63</v>
      </c>
      <c r="Z46" s="5" t="n">
        <f aca="false">SUM(Z39:Z45)</f>
        <v>94.96</v>
      </c>
      <c r="AA46" s="5" t="n">
        <f aca="false">SUM(AA39:AA45)</f>
        <v>147.06</v>
      </c>
      <c r="AB46" s="5" t="n">
        <f aca="false">SUM(AB39:AB45)</f>
        <v>40.7</v>
      </c>
      <c r="AC46" s="5" t="n">
        <f aca="false">SUM(AC39:AC45)</f>
        <v>0</v>
      </c>
      <c r="AD46" s="5" t="n">
        <f aca="false">SUM(AD39:AD45)</f>
        <v>1.82999999999963</v>
      </c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customFormat="false" ht="15" hidden="false" customHeight="false" outlineLevel="0" collapsed="false">
      <c r="A49" s="3" t="s">
        <v>76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customFormat="false" ht="24.05" hidden="false" customHeight="false" outlineLevel="0" collapsed="false">
      <c r="A50" s="1" t="s">
        <v>65</v>
      </c>
      <c r="B50" s="1" t="s">
        <v>34</v>
      </c>
      <c r="C50" s="1" t="s">
        <v>35</v>
      </c>
      <c r="D50" s="1" t="s">
        <v>36</v>
      </c>
      <c r="E50" s="1" t="s">
        <v>37</v>
      </c>
      <c r="F50" s="1" t="s">
        <v>38</v>
      </c>
      <c r="G50" s="1" t="s">
        <v>39</v>
      </c>
      <c r="H50" s="1" t="s">
        <v>40</v>
      </c>
      <c r="I50" s="1" t="s">
        <v>41</v>
      </c>
      <c r="J50" s="1" t="s">
        <v>42</v>
      </c>
      <c r="K50" s="1" t="s">
        <v>43</v>
      </c>
      <c r="L50" s="1" t="s">
        <v>44</v>
      </c>
      <c r="M50" s="1" t="s">
        <v>45</v>
      </c>
      <c r="N50" s="1" t="s">
        <v>46</v>
      </c>
      <c r="O50" s="1" t="s">
        <v>47</v>
      </c>
      <c r="P50" s="1" t="s">
        <v>48</v>
      </c>
      <c r="Q50" s="1" t="s">
        <v>49</v>
      </c>
      <c r="R50" s="1" t="s">
        <v>50</v>
      </c>
      <c r="S50" s="1" t="s">
        <v>51</v>
      </c>
      <c r="T50" s="1" t="s">
        <v>52</v>
      </c>
      <c r="U50" s="1" t="s">
        <v>53</v>
      </c>
      <c r="V50" s="1" t="s">
        <v>54</v>
      </c>
      <c r="W50" s="1" t="s">
        <v>55</v>
      </c>
      <c r="X50" s="1" t="s">
        <v>56</v>
      </c>
      <c r="Y50" s="1" t="s">
        <v>57</v>
      </c>
      <c r="Z50" s="1" t="s">
        <v>58</v>
      </c>
      <c r="AA50" s="1" t="s">
        <v>59</v>
      </c>
      <c r="AB50" s="1" t="s">
        <v>60</v>
      </c>
      <c r="AC50" s="1" t="s">
        <v>61</v>
      </c>
      <c r="AD50" s="1" t="s">
        <v>66</v>
      </c>
    </row>
    <row r="51" customFormat="false" ht="15" hidden="false" customHeight="false" outlineLevel="0" collapsed="false">
      <c r="A51" s="2" t="s">
        <v>67</v>
      </c>
      <c r="B51" s="4" t="n">
        <f aca="false">B3-B27</f>
        <v>-26.64</v>
      </c>
      <c r="C51" s="4" t="n">
        <f aca="false">C3-C27</f>
        <v>-0.04</v>
      </c>
      <c r="D51" s="4" t="n">
        <f aca="false">D3-D27</f>
        <v>7.56</v>
      </c>
      <c r="E51" s="4" t="n">
        <f aca="false">E3-E27</f>
        <v>-48.27</v>
      </c>
      <c r="F51" s="4" t="n">
        <f aca="false">F3-F27</f>
        <v>0</v>
      </c>
      <c r="G51" s="4" t="n">
        <f aca="false">G3-G27</f>
        <v>17.96</v>
      </c>
      <c r="H51" s="4" t="n">
        <f aca="false">H3-H27</f>
        <v>30.7</v>
      </c>
      <c r="I51" s="4" t="n">
        <f aca="false">I3-I27</f>
        <v>-0.18</v>
      </c>
      <c r="J51" s="4" t="n">
        <f aca="false">J3-J27</f>
        <v>0</v>
      </c>
      <c r="K51" s="4" t="n">
        <f aca="false">K3-K27</f>
        <v>5.59</v>
      </c>
      <c r="L51" s="4" t="n">
        <f aca="false">L3-L27</f>
        <v>-0.04</v>
      </c>
      <c r="M51" s="4" t="n">
        <f aca="false">M3-M27</f>
        <v>0</v>
      </c>
      <c r="N51" s="4" t="n">
        <f aca="false">N3-N27</f>
        <v>0</v>
      </c>
      <c r="O51" s="4" t="n">
        <f aca="false">O3-O27</f>
        <v>0</v>
      </c>
      <c r="P51" s="4" t="n">
        <f aca="false">P3-P27</f>
        <v>0</v>
      </c>
      <c r="Q51" s="4" t="n">
        <f aca="false">Q3-Q27</f>
        <v>0</v>
      </c>
      <c r="R51" s="4" t="n">
        <f aca="false">R3-R27</f>
        <v>0</v>
      </c>
      <c r="S51" s="4" t="n">
        <f aca="false">S3-S27</f>
        <v>0</v>
      </c>
      <c r="T51" s="4" t="n">
        <f aca="false">T3-T27</f>
        <v>0</v>
      </c>
      <c r="U51" s="4" t="n">
        <f aca="false">U3-U27</f>
        <v>0</v>
      </c>
      <c r="V51" s="4" t="n">
        <f aca="false">V3-V27</f>
        <v>18.12</v>
      </c>
      <c r="W51" s="4" t="n">
        <f aca="false">W3-W27</f>
        <v>-19.95</v>
      </c>
      <c r="X51" s="4" t="n">
        <f aca="false">X3-X27</f>
        <v>4.73</v>
      </c>
      <c r="Y51" s="4" t="n">
        <f aca="false">Y3-Y27</f>
        <v>-18.1</v>
      </c>
      <c r="Z51" s="4" t="n">
        <f aca="false">Z3-Z27</f>
        <v>0</v>
      </c>
      <c r="AA51" s="4" t="n">
        <f aca="false">AA3-AA27</f>
        <v>49.16</v>
      </c>
      <c r="AB51" s="4" t="n">
        <f aca="false">AB3-AB27</f>
        <v>-24.91</v>
      </c>
      <c r="AC51" s="4" t="n">
        <f aca="false">AC3-AC27</f>
        <v>0</v>
      </c>
      <c r="AD51" s="4" t="n">
        <f aca="false">SUM(B51:AC51)</f>
        <v>-4.30999999999995</v>
      </c>
    </row>
    <row r="52" customFormat="false" ht="15" hidden="false" customHeight="false" outlineLevel="0" collapsed="false">
      <c r="A52" s="2" t="s">
        <v>68</v>
      </c>
      <c r="B52" s="4" t="n">
        <f aca="false">B4-B28</f>
        <v>-11.72</v>
      </c>
      <c r="C52" s="4" t="n">
        <f aca="false">C4-C28</f>
        <v>-3.52</v>
      </c>
      <c r="D52" s="4" t="n">
        <f aca="false">D4-D28</f>
        <v>15.06</v>
      </c>
      <c r="E52" s="4" t="n">
        <f aca="false">E4-E28</f>
        <v>-86.7800000000001</v>
      </c>
      <c r="F52" s="4" t="n">
        <f aca="false">F4-F28</f>
        <v>0</v>
      </c>
      <c r="G52" s="4" t="n">
        <f aca="false">G4-G28</f>
        <v>6.42000000000002</v>
      </c>
      <c r="H52" s="4" t="n">
        <f aca="false">H4-H28</f>
        <v>-24.25</v>
      </c>
      <c r="I52" s="4" t="n">
        <f aca="false">I4-I28</f>
        <v>-33.66</v>
      </c>
      <c r="J52" s="4" t="n">
        <f aca="false">J4-J28</f>
        <v>0</v>
      </c>
      <c r="K52" s="4" t="n">
        <f aca="false">K4-K28</f>
        <v>53.5</v>
      </c>
      <c r="L52" s="4" t="n">
        <f aca="false">L4-L28</f>
        <v>0.19</v>
      </c>
      <c r="M52" s="4" t="n">
        <f aca="false">M4-M28</f>
        <v>0</v>
      </c>
      <c r="N52" s="4" t="n">
        <f aca="false">N4-N28</f>
        <v>0</v>
      </c>
      <c r="O52" s="4" t="n">
        <f aca="false">O4-O28</f>
        <v>0</v>
      </c>
      <c r="P52" s="4" t="n">
        <f aca="false">P4-P28</f>
        <v>0</v>
      </c>
      <c r="Q52" s="4" t="n">
        <f aca="false">Q4-Q28</f>
        <v>0</v>
      </c>
      <c r="R52" s="4" t="n">
        <f aca="false">R4-R28</f>
        <v>0</v>
      </c>
      <c r="S52" s="4" t="n">
        <f aca="false">S4-S28</f>
        <v>0</v>
      </c>
      <c r="T52" s="4" t="n">
        <f aca="false">T4-T28</f>
        <v>-15</v>
      </c>
      <c r="U52" s="4" t="n">
        <f aca="false">U4-U28</f>
        <v>0</v>
      </c>
      <c r="V52" s="4" t="n">
        <f aca="false">V4-V28</f>
        <v>-1.15</v>
      </c>
      <c r="W52" s="4" t="n">
        <f aca="false">W4-W28</f>
        <v>35.26</v>
      </c>
      <c r="X52" s="4" t="n">
        <f aca="false">X4-X28</f>
        <v>11.13</v>
      </c>
      <c r="Y52" s="4" t="n">
        <f aca="false">Y4-Y28</f>
        <v>32.48</v>
      </c>
      <c r="Z52" s="4" t="n">
        <f aca="false">Z4-Z28</f>
        <v>0</v>
      </c>
      <c r="AA52" s="4" t="n">
        <f aca="false">AA4-AA28</f>
        <v>-9.33000000000001</v>
      </c>
      <c r="AB52" s="4" t="n">
        <f aca="false">AB4-AB28</f>
        <v>76.12</v>
      </c>
      <c r="AC52" s="4" t="n">
        <f aca="false">AC4-AC28</f>
        <v>-46.72</v>
      </c>
      <c r="AD52" s="4" t="n">
        <f aca="false">SUM(B52:AC52)</f>
        <v>-1.9700000000001</v>
      </c>
    </row>
    <row r="53" customFormat="false" ht="15" hidden="false" customHeight="false" outlineLevel="0" collapsed="false">
      <c r="A53" s="2" t="s">
        <v>69</v>
      </c>
      <c r="B53" s="4" t="n">
        <f aca="false">B5-B29</f>
        <v>6.8</v>
      </c>
      <c r="C53" s="4" t="n">
        <f aca="false">C5-C29</f>
        <v>-61.66</v>
      </c>
      <c r="D53" s="4" t="n">
        <f aca="false">D5-D29</f>
        <v>100.19</v>
      </c>
      <c r="E53" s="4" t="n">
        <f aca="false">E5-E29</f>
        <v>2.83000000000001</v>
      </c>
      <c r="F53" s="4" t="n">
        <f aca="false">F5-F29</f>
        <v>0</v>
      </c>
      <c r="G53" s="4" t="n">
        <f aca="false">G5-G29</f>
        <v>1.21</v>
      </c>
      <c r="H53" s="4" t="n">
        <f aca="false">H5-H29</f>
        <v>-24.24</v>
      </c>
      <c r="I53" s="4" t="n">
        <f aca="false">I5-I29</f>
        <v>12.21</v>
      </c>
      <c r="J53" s="4" t="n">
        <f aca="false">J5-J29</f>
        <v>0</v>
      </c>
      <c r="K53" s="4" t="n">
        <f aca="false">K5-K29</f>
        <v>49.0300000000002</v>
      </c>
      <c r="L53" s="4" t="n">
        <f aca="false">L5-L29</f>
        <v>-8.21</v>
      </c>
      <c r="M53" s="4" t="n">
        <f aca="false">M5-M29</f>
        <v>0</v>
      </c>
      <c r="N53" s="4" t="n">
        <f aca="false">N5-N29</f>
        <v>0</v>
      </c>
      <c r="O53" s="4" t="n">
        <f aca="false">O5-O29</f>
        <v>0</v>
      </c>
      <c r="P53" s="4" t="n">
        <f aca="false">P5-P29</f>
        <v>0</v>
      </c>
      <c r="Q53" s="4" t="n">
        <f aca="false">Q5-Q29</f>
        <v>0</v>
      </c>
      <c r="R53" s="4" t="n">
        <f aca="false">R5-R29</f>
        <v>0</v>
      </c>
      <c r="S53" s="4" t="n">
        <f aca="false">S5-S29</f>
        <v>0</v>
      </c>
      <c r="T53" s="4" t="n">
        <f aca="false">T5-T29</f>
        <v>1.06</v>
      </c>
      <c r="U53" s="4" t="n">
        <f aca="false">U5-U29</f>
        <v>0</v>
      </c>
      <c r="V53" s="4" t="n">
        <f aca="false">V5-V29</f>
        <v>1.34</v>
      </c>
      <c r="W53" s="4" t="n">
        <f aca="false">W5-W29</f>
        <v>-43.35</v>
      </c>
      <c r="X53" s="4" t="n">
        <f aca="false">X5-X29</f>
        <v>-51.26</v>
      </c>
      <c r="Y53" s="4" t="n">
        <f aca="false">Y5-Y29</f>
        <v>47.61</v>
      </c>
      <c r="Z53" s="4" t="n">
        <f aca="false">Z5-Z29</f>
        <v>0</v>
      </c>
      <c r="AA53" s="4" t="n">
        <f aca="false">AA5-AA29</f>
        <v>8.65999999999997</v>
      </c>
      <c r="AB53" s="4" t="n">
        <f aca="false">AB5-AB29</f>
        <v>-50.37</v>
      </c>
      <c r="AC53" s="4" t="n">
        <f aca="false">AC5-AC29</f>
        <v>-1.77</v>
      </c>
      <c r="AD53" s="4" t="n">
        <f aca="false">SUM(B53:AC53)</f>
        <v>-9.91999999999982</v>
      </c>
    </row>
    <row r="54" customFormat="false" ht="15" hidden="false" customHeight="false" outlineLevel="0" collapsed="false">
      <c r="A54" s="2" t="s">
        <v>70</v>
      </c>
      <c r="B54" s="4" t="n">
        <f aca="false">B6-B30</f>
        <v>-0.51</v>
      </c>
      <c r="C54" s="4" t="n">
        <f aca="false">C6-C30</f>
        <v>-0.67</v>
      </c>
      <c r="D54" s="4" t="n">
        <f aca="false">D6-D30</f>
        <v>0</v>
      </c>
      <c r="E54" s="4" t="n">
        <f aca="false">E6-E30</f>
        <v>0</v>
      </c>
      <c r="F54" s="4" t="n">
        <f aca="false">F6-F30</f>
        <v>0</v>
      </c>
      <c r="G54" s="4" t="n">
        <f aca="false">G6-G30</f>
        <v>0</v>
      </c>
      <c r="H54" s="4" t="n">
        <f aca="false">H6-H30</f>
        <v>0</v>
      </c>
      <c r="I54" s="4" t="n">
        <f aca="false">I6-I30</f>
        <v>0</v>
      </c>
      <c r="J54" s="4" t="n">
        <f aca="false">J6-J30</f>
        <v>15.97</v>
      </c>
      <c r="K54" s="4" t="n">
        <f aca="false">K6-K30</f>
        <v>0</v>
      </c>
      <c r="L54" s="4" t="n">
        <f aca="false">L6-L30</f>
        <v>0</v>
      </c>
      <c r="M54" s="4" t="n">
        <f aca="false">M6-M30</f>
        <v>0</v>
      </c>
      <c r="N54" s="4" t="n">
        <f aca="false">N6-N30</f>
        <v>0</v>
      </c>
      <c r="O54" s="4" t="n">
        <f aca="false">O6-O30</f>
        <v>0</v>
      </c>
      <c r="P54" s="4" t="n">
        <f aca="false">P6-P30</f>
        <v>0</v>
      </c>
      <c r="Q54" s="4" t="n">
        <f aca="false">Q6-Q30</f>
        <v>-87.2000000000003</v>
      </c>
      <c r="R54" s="4" t="n">
        <f aca="false">R6-R30</f>
        <v>0</v>
      </c>
      <c r="S54" s="4" t="n">
        <f aca="false">S6-S30</f>
        <v>0</v>
      </c>
      <c r="T54" s="4" t="n">
        <f aca="false">T6-T30</f>
        <v>0</v>
      </c>
      <c r="U54" s="4" t="n">
        <f aca="false">U6-U30</f>
        <v>13.49</v>
      </c>
      <c r="V54" s="4" t="n">
        <f aca="false">V6-V30</f>
        <v>0</v>
      </c>
      <c r="W54" s="4" t="n">
        <f aca="false">W6-W30</f>
        <v>-6.54</v>
      </c>
      <c r="X54" s="4" t="n">
        <f aca="false">X6-X30</f>
        <v>-48.81</v>
      </c>
      <c r="Y54" s="4" t="n">
        <f aca="false">Y6-Y30</f>
        <v>26.17</v>
      </c>
      <c r="Z54" s="4" t="n">
        <f aca="false">Z6-Z30</f>
        <v>0</v>
      </c>
      <c r="AA54" s="4" t="n">
        <f aca="false">AA6-AA30</f>
        <v>87</v>
      </c>
      <c r="AB54" s="4" t="n">
        <f aca="false">AB6-AB30</f>
        <v>-0.04</v>
      </c>
      <c r="AC54" s="4" t="n">
        <f aca="false">AC6-AC30</f>
        <v>0</v>
      </c>
      <c r="AD54" s="4" t="n">
        <f aca="false">SUM(B54:AC54)</f>
        <v>-1.14000000000027</v>
      </c>
    </row>
    <row r="55" customFormat="false" ht="15" hidden="false" customHeight="false" outlineLevel="0" collapsed="false">
      <c r="A55" s="2" t="s">
        <v>71</v>
      </c>
      <c r="B55" s="4" t="n">
        <f aca="false">B7-B31</f>
        <v>-0.62</v>
      </c>
      <c r="C55" s="4" t="n">
        <f aca="false">C7-C31</f>
        <v>0</v>
      </c>
      <c r="D55" s="4" t="n">
        <f aca="false">D7-D31</f>
        <v>0</v>
      </c>
      <c r="E55" s="4" t="n">
        <f aca="false">E7-E31</f>
        <v>33.14</v>
      </c>
      <c r="F55" s="4" t="n">
        <f aca="false">F7-F31</f>
        <v>-56.05</v>
      </c>
      <c r="G55" s="4" t="n">
        <f aca="false">G7-G31</f>
        <v>16.18</v>
      </c>
      <c r="H55" s="4" t="n">
        <f aca="false">H7-H31</f>
        <v>0</v>
      </c>
      <c r="I55" s="4" t="n">
        <f aca="false">I7-I31</f>
        <v>0</v>
      </c>
      <c r="J55" s="4" t="n">
        <f aca="false">J7-J31</f>
        <v>31.64</v>
      </c>
      <c r="K55" s="4" t="n">
        <f aca="false">K7-K31</f>
        <v>0</v>
      </c>
      <c r="L55" s="4" t="n">
        <f aca="false">L7-L31</f>
        <v>0</v>
      </c>
      <c r="M55" s="4" t="n">
        <f aca="false">M7-M31</f>
        <v>0</v>
      </c>
      <c r="N55" s="4" t="n">
        <f aca="false">N7-N31</f>
        <v>0</v>
      </c>
      <c r="O55" s="4" t="n">
        <f aca="false">O7-O31</f>
        <v>0</v>
      </c>
      <c r="P55" s="4" t="n">
        <f aca="false">P7-P31</f>
        <v>0</v>
      </c>
      <c r="Q55" s="4" t="n">
        <f aca="false">Q7-Q31</f>
        <v>0</v>
      </c>
      <c r="R55" s="4" t="n">
        <f aca="false">R7-R31</f>
        <v>96.2200000000003</v>
      </c>
      <c r="S55" s="4" t="n">
        <f aca="false">S7-S31</f>
        <v>-127.14</v>
      </c>
      <c r="T55" s="4" t="n">
        <f aca="false">T7-T31</f>
        <v>0</v>
      </c>
      <c r="U55" s="4" t="n">
        <f aca="false">U7-U31</f>
        <v>60.94</v>
      </c>
      <c r="V55" s="4" t="n">
        <f aca="false">V7-V31</f>
        <v>0</v>
      </c>
      <c r="W55" s="4" t="n">
        <f aca="false">W7-W31</f>
        <v>-180.76</v>
      </c>
      <c r="X55" s="4" t="n">
        <f aca="false">X7-X31</f>
        <v>-139.4</v>
      </c>
      <c r="Y55" s="4" t="n">
        <f aca="false">Y7-Y31</f>
        <v>82.01</v>
      </c>
      <c r="Z55" s="4" t="n">
        <f aca="false">Z7-Z31</f>
        <v>90.04</v>
      </c>
      <c r="AA55" s="4" t="n">
        <f aca="false">AA7-AA31</f>
        <v>2.71000000000004</v>
      </c>
      <c r="AB55" s="4" t="n">
        <f aca="false">AB7-AB31</f>
        <v>56.7</v>
      </c>
      <c r="AC55" s="4" t="n">
        <f aca="false">AC7-AC31</f>
        <v>0</v>
      </c>
      <c r="AD55" s="4" t="n">
        <f aca="false">SUM(B55:AC55)</f>
        <v>-34.3899999999997</v>
      </c>
    </row>
    <row r="56" customFormat="false" ht="15" hidden="false" customHeight="false" outlineLevel="0" collapsed="false">
      <c r="A56" s="2" t="s">
        <v>72</v>
      </c>
      <c r="B56" s="4" t="n">
        <f aca="false">B8-B32</f>
        <v>-1.42</v>
      </c>
      <c r="C56" s="4" t="n">
        <f aca="false">C8-C32</f>
        <v>-0.93</v>
      </c>
      <c r="D56" s="4" t="n">
        <f aca="false">D8-D32</f>
        <v>8.86</v>
      </c>
      <c r="E56" s="4" t="n">
        <f aca="false">E8-E32</f>
        <v>0</v>
      </c>
      <c r="F56" s="4" t="n">
        <f aca="false">F8-F32</f>
        <v>-2.26</v>
      </c>
      <c r="G56" s="4" t="n">
        <f aca="false">G8-G32</f>
        <v>0.06</v>
      </c>
      <c r="H56" s="4" t="n">
        <f aca="false">H8-H32</f>
        <v>0</v>
      </c>
      <c r="I56" s="4" t="n">
        <f aca="false">I8-I32</f>
        <v>0</v>
      </c>
      <c r="J56" s="4" t="n">
        <f aca="false">J8-J32</f>
        <v>1.18</v>
      </c>
      <c r="K56" s="4" t="n">
        <f aca="false">K8-K32</f>
        <v>0</v>
      </c>
      <c r="L56" s="4" t="n">
        <f aca="false">L8-L32</f>
        <v>0</v>
      </c>
      <c r="M56" s="4" t="n">
        <f aca="false">M8-M32</f>
        <v>30.8299999999999</v>
      </c>
      <c r="N56" s="4" t="n">
        <f aca="false">N8-N32</f>
        <v>1.34</v>
      </c>
      <c r="O56" s="4" t="n">
        <f aca="false">O8-O32</f>
        <v>0</v>
      </c>
      <c r="P56" s="4" t="n">
        <f aca="false">P8-P32</f>
        <v>0</v>
      </c>
      <c r="Q56" s="4" t="n">
        <f aca="false">Q8-Q32</f>
        <v>0</v>
      </c>
      <c r="R56" s="4" t="n">
        <f aca="false">R8-R32</f>
        <v>0</v>
      </c>
      <c r="S56" s="4" t="n">
        <f aca="false">S8-S32</f>
        <v>0</v>
      </c>
      <c r="T56" s="4" t="n">
        <f aca="false">T8-T32</f>
        <v>0</v>
      </c>
      <c r="U56" s="4" t="n">
        <f aca="false">U8-U32</f>
        <v>-4.84</v>
      </c>
      <c r="V56" s="4" t="n">
        <f aca="false">V8-V32</f>
        <v>0</v>
      </c>
      <c r="W56" s="4" t="n">
        <f aca="false">W8-W32</f>
        <v>-21.14</v>
      </c>
      <c r="X56" s="4" t="n">
        <f aca="false">X8-X32</f>
        <v>-31.92</v>
      </c>
      <c r="Y56" s="4" t="n">
        <f aca="false">Y8-Y32</f>
        <v>35.12</v>
      </c>
      <c r="Z56" s="4" t="n">
        <f aca="false">Z8-Z32</f>
        <v>5.45</v>
      </c>
      <c r="AA56" s="4" t="n">
        <f aca="false">AA8-AA32</f>
        <v>-18.4399999999999</v>
      </c>
      <c r="AB56" s="4" t="n">
        <f aca="false">AB8-AB32</f>
        <v>-4.45</v>
      </c>
      <c r="AC56" s="4" t="n">
        <f aca="false">AC8-AC32</f>
        <v>0</v>
      </c>
      <c r="AD56" s="4" t="n">
        <f aca="false">SUM(B56:AC56)</f>
        <v>-2.56000000000002</v>
      </c>
    </row>
    <row r="57" customFormat="false" ht="15" hidden="false" customHeight="false" outlineLevel="0" collapsed="false">
      <c r="A57" s="2" t="s">
        <v>73</v>
      </c>
      <c r="B57" s="4" t="n">
        <f aca="false">B9-B33</f>
        <v>-1.41</v>
      </c>
      <c r="C57" s="4" t="n">
        <f aca="false">C9-C33</f>
        <v>0</v>
      </c>
      <c r="D57" s="4" t="n">
        <f aca="false">D9-D33</f>
        <v>-1.73</v>
      </c>
      <c r="E57" s="4" t="n">
        <f aca="false">E9-E33</f>
        <v>0</v>
      </c>
      <c r="F57" s="4" t="n">
        <f aca="false">F9-F33</f>
        <v>-0.25</v>
      </c>
      <c r="G57" s="4" t="n">
        <f aca="false">G9-G33</f>
        <v>0.29</v>
      </c>
      <c r="H57" s="4" t="n">
        <f aca="false">H9-H33</f>
        <v>0</v>
      </c>
      <c r="I57" s="4" t="n">
        <f aca="false">I9-I33</f>
        <v>0</v>
      </c>
      <c r="J57" s="4" t="n">
        <f aca="false">J9-J33</f>
        <v>28.43</v>
      </c>
      <c r="K57" s="4" t="n">
        <f aca="false">K9-K33</f>
        <v>0</v>
      </c>
      <c r="L57" s="4" t="n">
        <f aca="false">L9-L33</f>
        <v>0</v>
      </c>
      <c r="M57" s="4" t="n">
        <f aca="false">M9-M33</f>
        <v>0</v>
      </c>
      <c r="N57" s="4" t="n">
        <f aca="false">N9-N33</f>
        <v>0</v>
      </c>
      <c r="O57" s="4" t="n">
        <f aca="false">O9-O33</f>
        <v>28.3299999999999</v>
      </c>
      <c r="P57" s="4" t="n">
        <f aca="false">P9-P33</f>
        <v>-49.25</v>
      </c>
      <c r="Q57" s="4" t="n">
        <f aca="false">Q9-Q33</f>
        <v>0</v>
      </c>
      <c r="R57" s="4" t="n">
        <f aca="false">R9-R33</f>
        <v>0</v>
      </c>
      <c r="S57" s="4" t="n">
        <f aca="false">S9-S33</f>
        <v>0</v>
      </c>
      <c r="T57" s="4" t="n">
        <f aca="false">T9-T33</f>
        <v>0</v>
      </c>
      <c r="U57" s="4" t="n">
        <f aca="false">U9-U33</f>
        <v>12.98</v>
      </c>
      <c r="V57" s="4" t="n">
        <f aca="false">V9-V33</f>
        <v>0</v>
      </c>
      <c r="W57" s="4" t="n">
        <f aca="false">W9-W33</f>
        <v>-42.58</v>
      </c>
      <c r="X57" s="4" t="n">
        <f aca="false">X9-X33</f>
        <v>-194.77</v>
      </c>
      <c r="Y57" s="4" t="n">
        <f aca="false">Y9-Y33</f>
        <v>199.29</v>
      </c>
      <c r="Z57" s="4" t="n">
        <f aca="false">Z9-Z33</f>
        <v>16.87</v>
      </c>
      <c r="AA57" s="4" t="n">
        <f aca="false">AA9-AA33</f>
        <v>14.04</v>
      </c>
      <c r="AB57" s="4" t="n">
        <f aca="false">AB9-AB33</f>
        <v>-14.49</v>
      </c>
      <c r="AC57" s="4" t="n">
        <f aca="false">AC9-AC33</f>
        <v>0</v>
      </c>
      <c r="AD57" s="4" t="n">
        <f aca="false">SUM(B57:AC57)</f>
        <v>-4.2500000000001</v>
      </c>
    </row>
    <row r="58" customFormat="false" ht="15" hidden="false" customHeight="false" outlineLevel="0" collapsed="false">
      <c r="A58" s="3" t="s">
        <v>66</v>
      </c>
      <c r="B58" s="5" t="n">
        <f aca="false">SUM(B51:B57)</f>
        <v>-35.52</v>
      </c>
      <c r="C58" s="5" t="n">
        <f aca="false">SUM(C51:C57)</f>
        <v>-66.82</v>
      </c>
      <c r="D58" s="5" t="n">
        <f aca="false">SUM(D51:D57)</f>
        <v>129.94</v>
      </c>
      <c r="E58" s="5" t="n">
        <f aca="false">SUM(E51:E57)</f>
        <v>-99.0800000000001</v>
      </c>
      <c r="F58" s="5" t="n">
        <f aca="false">SUM(F51:F57)</f>
        <v>-58.56</v>
      </c>
      <c r="G58" s="5" t="n">
        <f aca="false">SUM(G51:G57)</f>
        <v>42.12</v>
      </c>
      <c r="H58" s="5" t="n">
        <f aca="false">SUM(H51:H57)</f>
        <v>-17.79</v>
      </c>
      <c r="I58" s="5" t="n">
        <f aca="false">SUM(I51:I57)</f>
        <v>-21.63</v>
      </c>
      <c r="J58" s="5" t="n">
        <f aca="false">SUM(J51:J57)</f>
        <v>77.22</v>
      </c>
      <c r="K58" s="5" t="n">
        <f aca="false">SUM(K51:K57)</f>
        <v>108.12</v>
      </c>
      <c r="L58" s="5" t="n">
        <f aca="false">SUM(L51:L57)</f>
        <v>-8.06</v>
      </c>
      <c r="M58" s="5" t="n">
        <f aca="false">SUM(M51:M57)</f>
        <v>30.8299999999999</v>
      </c>
      <c r="N58" s="5" t="n">
        <f aca="false">SUM(N51:N57)</f>
        <v>1.34</v>
      </c>
      <c r="O58" s="5" t="n">
        <f aca="false">SUM(O51:O57)</f>
        <v>28.3299999999999</v>
      </c>
      <c r="P58" s="5" t="n">
        <f aca="false">SUM(P51:P57)</f>
        <v>-49.25</v>
      </c>
      <c r="Q58" s="5" t="n">
        <f aca="false">SUM(Q51:Q57)</f>
        <v>-87.2000000000003</v>
      </c>
      <c r="R58" s="5" t="n">
        <f aca="false">SUM(R51:R57)</f>
        <v>96.2200000000003</v>
      </c>
      <c r="S58" s="5" t="n">
        <f aca="false">SUM(S51:S57)</f>
        <v>-127.14</v>
      </c>
      <c r="T58" s="5" t="n">
        <f aca="false">SUM(T51:T57)</f>
        <v>-13.94</v>
      </c>
      <c r="U58" s="5" t="n">
        <f aca="false">SUM(U51:U57)</f>
        <v>82.57</v>
      </c>
      <c r="V58" s="5" t="n">
        <f aca="false">SUM(V51:V57)</f>
        <v>18.31</v>
      </c>
      <c r="W58" s="5" t="n">
        <f aca="false">SUM(W51:W57)</f>
        <v>-279.06</v>
      </c>
      <c r="X58" s="5" t="n">
        <f aca="false">SUM(X51:X57)</f>
        <v>-450.3</v>
      </c>
      <c r="Y58" s="5" t="n">
        <f aca="false">SUM(Y51:Y57)</f>
        <v>404.58</v>
      </c>
      <c r="Z58" s="5" t="n">
        <f aca="false">SUM(Z51:Z57)</f>
        <v>112.36</v>
      </c>
      <c r="AA58" s="5" t="n">
        <f aca="false">SUM(AA51:AA57)</f>
        <v>133.8</v>
      </c>
      <c r="AB58" s="5" t="n">
        <f aca="false">SUM(AB51:AB57)</f>
        <v>38.56</v>
      </c>
      <c r="AC58" s="5" t="n">
        <f aca="false">SUM(AC51:AC57)</f>
        <v>-48.49</v>
      </c>
      <c r="AD58" s="5" t="n">
        <f aca="false">SUM(AD51:AD57)</f>
        <v>-58.54</v>
      </c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customFormat="false" ht="15" hidden="false" customHeight="false" outlineLevel="0" collapsed="false">
      <c r="A61" s="2" t="s">
        <v>25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customFormat="false" ht="15" hidden="false" customHeight="false" outlineLevel="0" collapsed="false">
      <c r="A62" s="2" t="s">
        <v>77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2026-10-08T13:29:04Z</dcterms:created>
  <dc:creator>openpyxl</dc:creator>
  <dc:description/>
  <dc:language>fr-FR</dc:language>
  <cp:lastModifiedBy/>
  <dcterms:modified xsi:type="dcterms:W3CDTF">2026-10-08T13:29:04Z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