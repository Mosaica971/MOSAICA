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arts_par_culture" sheetId="1" state="visible" r:id="rId3"/>
    <sheet name="ecarts_par_group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<sst xmlns="http://schemas.openxmlformats.org/spreadsheetml/2006/main" count="98" uniqueCount="59">
  <si>
    <t xml:space="preserve">Culture fine</t>
  </si>
  <si>
    <t xml:space="preserve">GAMS (ha)</t>
  </si>
  <si>
    <t xml:space="preserve">Python x100 (ha)</t>
  </si>
  <si>
    <t xml:space="preserve">Écart Python x100 − GAMS (ha)</t>
  </si>
  <si>
    <t xml:space="preserve">Explication de l'écart du run x100</t>
  </si>
  <si>
    <t xml:space="preserve">Python aligné sur GAMS (ha)</t>
  </si>
  <si>
    <t xml:space="preserve">Écart Python aligné − GAMS (ha)</t>
  </si>
  <si>
    <t xml:space="preserve">AG</t>
  </si>
  <si>
    <t xml:space="preserve">Report des surfaces privées de plantain</t>
  </si>
  <si>
    <t xml:space="preserve">AN_NU</t>
  </si>
  <si>
    <t xml:space="preserve">Proches (plafond de 75 % de la surface par exploitation dans les deux modèles)</t>
  </si>
  <si>
    <t xml:space="preserve">AN_PA</t>
  </si>
  <si>
    <t xml:space="preserve">BA_INT</t>
  </si>
  <si>
    <t xml:space="preserve">Mêmes règles dans les deux modèles : écart non expliqué par la configuration (tolérance de 10 % de GAMS probable)</t>
  </si>
  <si>
    <t xml:space="preserve">BA_IRR</t>
  </si>
  <si>
    <t xml:space="preserve">BA_PER</t>
  </si>
  <si>
    <t xml:space="preserve">BA_SINT</t>
  </si>
  <si>
    <t xml:space="preserve">BC_BT</t>
  </si>
  <si>
    <t xml:space="preserve">Plafond de plantain (6 440 t) actif dans Python, absent du bloc CALIB de GAMS</t>
  </si>
  <si>
    <t xml:space="preserve">BC_GTMG</t>
  </si>
  <si>
    <t xml:space="preserve">CS_BT_NISM</t>
  </si>
  <si>
    <t xml:space="preserve">GAMS garde un reste de canne ; Python n'en garde que là où rien d'autre n'est éligible</t>
  </si>
  <si>
    <t xml:space="preserve">CS_BT_NIM</t>
  </si>
  <si>
    <t xml:space="preserve">CS_SBT_NIM</t>
  </si>
  <si>
    <t xml:space="preserve">CS_NGT_NISM</t>
  </si>
  <si>
    <t xml:space="preserve">CS_NGT_NIM</t>
  </si>
  <si>
    <t xml:space="preserve">CS_CGT_NISM</t>
  </si>
  <si>
    <t xml:space="preserve">CS_CGT_NIM</t>
  </si>
  <si>
    <t xml:space="preserve">CS_EGT_NISM</t>
  </si>
  <si>
    <t xml:space="preserve">CS_EGT_NIM</t>
  </si>
  <si>
    <t xml:space="preserve">CS_MG_NISM</t>
  </si>
  <si>
    <t xml:space="preserve">IG_PLA</t>
  </si>
  <si>
    <t xml:space="preserve">Proches (plafond de 66 % de la surface par exploitation dans les deux modèles)</t>
  </si>
  <si>
    <t xml:space="preserve">IG_TUT</t>
  </si>
  <si>
    <t xml:space="preserve">JA</t>
  </si>
  <si>
    <t xml:space="preserve">Conséquence de la banane : la jachère est imposée à 20 % de BA_INT / BA_IRR / BA_SINT, pas de BA_PER</t>
  </si>
  <si>
    <t xml:space="preserve">MA_ROTA</t>
  </si>
  <si>
    <t xml:space="preserve">Plafond de travail x100 encore contraignant dans Python : MA_ROTA (1 653 h/ha) remplacé par MA_TO_CO_JA (1 128 h/ha)</t>
  </si>
  <si>
    <t xml:space="preserve">MA_TO_CO_JA</t>
  </si>
  <si>
    <t xml:space="preserve">ME</t>
  </si>
  <si>
    <t xml:space="preserve">GAMS garde un reste de melon</t>
  </si>
  <si>
    <t xml:space="preserve">PN_PIQ</t>
  </si>
  <si>
    <t xml:space="preserve">Report des surfaces privées de plantain (exploitations très averses au risque)</t>
  </si>
  <si>
    <t xml:space="preserve">VE_BTGT</t>
  </si>
  <si>
    <t xml:space="preserve">VE_PLUIE</t>
  </si>
  <si>
    <t xml:space="preserve">Total</t>
  </si>
  <si>
    <t xml:space="preserve">GAMS : colonne Assol_Calib du run GAMS sans limite de travail, relevée sur la capture d'écran (hectares arrondis). CS_BT_NISM, CS_SBT_NIM et CS_CGT_NISM n'y figurent pas : 0 retenu, le total de la capture étant complet.</t>
  </si>
  <si>
    <t xml:space="preserve">Python : outputs/no_limit_on_labour_f0_nominal/csv/allocation_output.csv (politique no_limit_on_labour = configuration par défaut avec le plafond de travail multiplié par 100 ; statut optimal à 1 % près).</t>
  </si>
  <si>
    <t xml:space="preserve">Hors tableau : 2 559 ha de non cultivé (NC), figés dans les deux modèles.</t>
  </si>
  <si>
    <t xml:space="preserve">Python aligné sur GAMS : outputs/nolabour_calib_newtypo_x100 (bloc CALIB : sans plafond de plantain ni plancher de prairie ; nouvelle typologie ; plafond de travail x100 ; statut optimal à 1 % près ; objectif 212,0 M EUR, égal à la borne de GAMS).</t>
  </si>
  <si>
    <t xml:space="preserve">Groupe</t>
  </si>
  <si>
    <t xml:space="preserve">AN</t>
  </si>
  <si>
    <t xml:space="preserve">BA</t>
  </si>
  <si>
    <t xml:space="preserve">BC</t>
  </si>
  <si>
    <t xml:space="preserve">CS</t>
  </si>
  <si>
    <t xml:space="preserve">IG</t>
  </si>
  <si>
    <t xml:space="preserve">MA</t>
  </si>
  <si>
    <t xml:space="preserve">PN</t>
  </si>
  <si>
    <t xml:space="preserve">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</si>
</sst>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35</v>
      </c>
      <c r="C2" s="3" t="n">
        <v>256.14</v>
      </c>
      <c r="D2" s="3" t="n">
        <f aca="false">C2-B2</f>
        <v>221.14</v>
      </c>
      <c r="E2" s="2" t="s">
        <v>8</v>
      </c>
      <c r="F2" s="3" t="n">
        <v>8.31</v>
      </c>
      <c r="G2" s="3" t="n">
        <f aca="false">F2-B2</f>
        <v>-26.69</v>
      </c>
    </row>
    <row r="3" customFormat="false" ht="15" hidden="false" customHeight="false" outlineLevel="0" collapsed="false">
      <c r="A3" s="2" t="s">
        <v>9</v>
      </c>
      <c r="B3" s="3" t="n">
        <v>5</v>
      </c>
      <c r="C3" s="3" t="n">
        <v>0.22</v>
      </c>
      <c r="D3" s="3" t="n">
        <f aca="false">C3-B3</f>
        <v>-4.78</v>
      </c>
      <c r="E3" s="2" t="s">
        <v>10</v>
      </c>
      <c r="F3" s="3" t="n">
        <v>0.22</v>
      </c>
      <c r="G3" s="3" t="n">
        <f aca="false">F3-B3</f>
        <v>-4.78</v>
      </c>
    </row>
    <row r="4" customFormat="false" ht="15" hidden="false" customHeight="false" outlineLevel="0" collapsed="false">
      <c r="A4" s="2" t="s">
        <v>11</v>
      </c>
      <c r="B4" s="3" t="n">
        <v>632</v>
      </c>
      <c r="C4" s="3" t="n">
        <v>568.32</v>
      </c>
      <c r="D4" s="3" t="n">
        <f aca="false">C4-B4</f>
        <v>-63.68</v>
      </c>
      <c r="E4" s="2" t="s">
        <v>10</v>
      </c>
      <c r="F4" s="3" t="n">
        <v>568.32</v>
      </c>
      <c r="G4" s="3" t="n">
        <f aca="false">F4-B4</f>
        <v>-63.68</v>
      </c>
    </row>
    <row r="5" customFormat="false" ht="15" hidden="false" customHeight="false" outlineLevel="0" collapsed="false">
      <c r="A5" s="2" t="s">
        <v>12</v>
      </c>
      <c r="B5" s="3" t="n">
        <v>99</v>
      </c>
      <c r="C5" s="3" t="n">
        <v>1227.46</v>
      </c>
      <c r="D5" s="3" t="n">
        <f aca="false">C5-B5</f>
        <v>1128.46</v>
      </c>
      <c r="E5" s="2" t="s">
        <v>13</v>
      </c>
      <c r="F5" s="3" t="n">
        <v>1227.46</v>
      </c>
      <c r="G5" s="3" t="n">
        <f aca="false">F5-B5</f>
        <v>1128.46</v>
      </c>
    </row>
    <row r="6" customFormat="false" ht="15" hidden="false" customHeight="false" outlineLevel="0" collapsed="false">
      <c r="A6" s="2" t="s">
        <v>14</v>
      </c>
      <c r="B6" s="3" t="n">
        <v>1</v>
      </c>
      <c r="C6" s="3" t="n">
        <v>73.2</v>
      </c>
      <c r="D6" s="3" t="n">
        <f aca="false">C6-B6</f>
        <v>72.2</v>
      </c>
      <c r="E6" s="2" t="s">
        <v>13</v>
      </c>
      <c r="F6" s="3" t="n">
        <v>73.2</v>
      </c>
      <c r="G6" s="3" t="n">
        <f aca="false">F6-B6</f>
        <v>72.2</v>
      </c>
    </row>
    <row r="7" customFormat="false" ht="15" hidden="false" customHeight="false" outlineLevel="0" collapsed="false">
      <c r="A7" s="2" t="s">
        <v>15</v>
      </c>
      <c r="B7" s="3" t="n">
        <v>808</v>
      </c>
      <c r="C7" s="3" t="n">
        <v>61.48</v>
      </c>
      <c r="D7" s="3" t="n">
        <f aca="false">C7-B7</f>
        <v>-746.52</v>
      </c>
      <c r="E7" s="2" t="s">
        <v>13</v>
      </c>
      <c r="F7" s="3" t="n">
        <v>61.48</v>
      </c>
      <c r="G7" s="3" t="n">
        <f aca="false">F7-B7</f>
        <v>-746.52</v>
      </c>
    </row>
    <row r="8" customFormat="false" ht="15" hidden="false" customHeight="false" outlineLevel="0" collapsed="false">
      <c r="A8" s="2" t="s">
        <v>16</v>
      </c>
      <c r="B8" s="3" t="n">
        <v>29</v>
      </c>
      <c r="C8" s="3" t="n">
        <v>221.9</v>
      </c>
      <c r="D8" s="3" t="n">
        <f aca="false">C8-B8</f>
        <v>192.9</v>
      </c>
      <c r="E8" s="2" t="s">
        <v>13</v>
      </c>
      <c r="F8" s="3" t="n">
        <v>221.9</v>
      </c>
      <c r="G8" s="3" t="n">
        <f aca="false">F8-B8</f>
        <v>192.9</v>
      </c>
    </row>
    <row r="9" customFormat="false" ht="15" hidden="false" customHeight="false" outlineLevel="0" collapsed="false">
      <c r="A9" s="2" t="s">
        <v>17</v>
      </c>
      <c r="B9" s="3" t="n">
        <v>433</v>
      </c>
      <c r="C9" s="3" t="n">
        <v>15.38</v>
      </c>
      <c r="D9" s="3" t="n">
        <f aca="false">C9-B9</f>
        <v>-417.62</v>
      </c>
      <c r="E9" s="2" t="s">
        <v>18</v>
      </c>
      <c r="F9" s="3" t="n">
        <v>415.83</v>
      </c>
      <c r="G9" s="3" t="n">
        <f aca="false">F9-B9</f>
        <v>-17.17</v>
      </c>
    </row>
    <row r="10" customFormat="false" ht="15" hidden="false" customHeight="false" outlineLevel="0" collapsed="false">
      <c r="A10" s="2" t="s">
        <v>19</v>
      </c>
      <c r="B10" s="3" t="n">
        <v>2400</v>
      </c>
      <c r="C10" s="3" t="n">
        <v>306.62</v>
      </c>
      <c r="D10" s="3" t="n">
        <f aca="false">C10-B10</f>
        <v>-2093.38</v>
      </c>
      <c r="E10" s="2" t="s">
        <v>18</v>
      </c>
      <c r="F10" s="3" t="n">
        <v>2350.28</v>
      </c>
      <c r="G10" s="3" t="n">
        <f aca="false">F10-B10</f>
        <v>-49.7199999999998</v>
      </c>
    </row>
    <row r="11" customFormat="false" ht="15" hidden="false" customHeight="false" outlineLevel="0" collapsed="false">
      <c r="A11" s="2" t="s">
        <v>20</v>
      </c>
      <c r="B11" s="3" t="n">
        <v>0</v>
      </c>
      <c r="C11" s="3" t="n">
        <v>0</v>
      </c>
      <c r="D11" s="3" t="n">
        <f aca="false">C11-B11</f>
        <v>0</v>
      </c>
      <c r="E11" s="2" t="s">
        <v>21</v>
      </c>
      <c r="F11" s="3" t="n">
        <v>0</v>
      </c>
      <c r="G11" s="3" t="n">
        <f aca="false">F11-B11</f>
        <v>0</v>
      </c>
    </row>
    <row r="12" customFormat="false" ht="15" hidden="false" customHeight="false" outlineLevel="0" collapsed="false">
      <c r="A12" s="2" t="s">
        <v>22</v>
      </c>
      <c r="B12" s="3" t="n">
        <v>173</v>
      </c>
      <c r="C12" s="3" t="n">
        <v>165.83</v>
      </c>
      <c r="D12" s="3" t="n">
        <f aca="false">C12-B12</f>
        <v>-7.16999999999999</v>
      </c>
      <c r="E12" s="2" t="s">
        <v>21</v>
      </c>
      <c r="F12" s="3" t="n">
        <v>165.83</v>
      </c>
      <c r="G12" s="3" t="n">
        <f aca="false">F12-B12</f>
        <v>-7.16999999999999</v>
      </c>
    </row>
    <row r="13" customFormat="false" ht="15" hidden="false" customHeight="false" outlineLevel="0" collapsed="false">
      <c r="A13" s="2" t="s">
        <v>23</v>
      </c>
      <c r="B13" s="3" t="n">
        <v>0</v>
      </c>
      <c r="C13" s="3" t="n">
        <v>12.55</v>
      </c>
      <c r="D13" s="3" t="n">
        <f aca="false">C13-B13</f>
        <v>12.55</v>
      </c>
      <c r="E13" s="2" t="s">
        <v>21</v>
      </c>
      <c r="F13" s="3" t="n">
        <v>6.07</v>
      </c>
      <c r="G13" s="3" t="n">
        <f aca="false">F13-B13</f>
        <v>6.07</v>
      </c>
    </row>
    <row r="14" customFormat="false" ht="15" hidden="false" customHeight="false" outlineLevel="0" collapsed="false">
      <c r="A14" s="2" t="s">
        <v>24</v>
      </c>
      <c r="B14" s="3" t="n">
        <v>4</v>
      </c>
      <c r="C14" s="3" t="n">
        <v>0.23</v>
      </c>
      <c r="D14" s="3" t="n">
        <f aca="false">C14-B14</f>
        <v>-3.77</v>
      </c>
      <c r="E14" s="2" t="s">
        <v>21</v>
      </c>
      <c r="F14" s="3" t="n">
        <v>0.23</v>
      </c>
      <c r="G14" s="3" t="n">
        <f aca="false">F14-B14</f>
        <v>-3.77</v>
      </c>
    </row>
    <row r="15" customFormat="false" ht="15" hidden="false" customHeight="false" outlineLevel="0" collapsed="false">
      <c r="A15" s="2" t="s">
        <v>25</v>
      </c>
      <c r="B15" s="3" t="n">
        <v>122</v>
      </c>
      <c r="C15" s="3" t="n">
        <v>2.36</v>
      </c>
      <c r="D15" s="3" t="n">
        <f aca="false">C15-B15</f>
        <v>-119.64</v>
      </c>
      <c r="E15" s="2" t="s">
        <v>21</v>
      </c>
      <c r="F15" s="3" t="n">
        <v>2.36</v>
      </c>
      <c r="G15" s="3" t="n">
        <f aca="false">F15-B15</f>
        <v>-119.64</v>
      </c>
    </row>
    <row r="16" customFormat="false" ht="15" hidden="false" customHeight="false" outlineLevel="0" collapsed="false">
      <c r="A16" s="2" t="s">
        <v>26</v>
      </c>
      <c r="B16" s="3" t="n">
        <v>0</v>
      </c>
      <c r="C16" s="3" t="n">
        <v>0</v>
      </c>
      <c r="D16" s="3" t="n">
        <f aca="false">C16-B16</f>
        <v>0</v>
      </c>
      <c r="E16" s="2" t="s">
        <v>21</v>
      </c>
      <c r="F16" s="3" t="n">
        <v>0</v>
      </c>
      <c r="G16" s="3" t="n">
        <f aca="false">F16-B16</f>
        <v>0</v>
      </c>
    </row>
    <row r="17" customFormat="false" ht="15" hidden="false" customHeight="false" outlineLevel="0" collapsed="false">
      <c r="A17" s="2" t="s">
        <v>27</v>
      </c>
      <c r="B17" s="3" t="n">
        <v>12</v>
      </c>
      <c r="C17" s="3" t="n">
        <v>0</v>
      </c>
      <c r="D17" s="3" t="n">
        <f aca="false">C17-B17</f>
        <v>-12</v>
      </c>
      <c r="E17" s="2" t="s">
        <v>21</v>
      </c>
      <c r="F17" s="3" t="n">
        <v>0</v>
      </c>
      <c r="G17" s="3" t="n">
        <f aca="false">F17-B17</f>
        <v>-12</v>
      </c>
    </row>
    <row r="18" customFormat="false" ht="15" hidden="false" customHeight="false" outlineLevel="0" collapsed="false">
      <c r="A18" s="2" t="s">
        <v>28</v>
      </c>
      <c r="B18" s="3" t="n">
        <v>0</v>
      </c>
      <c r="C18" s="3" t="n">
        <v>0</v>
      </c>
      <c r="D18" s="3" t="n">
        <f aca="false">C18-B18</f>
        <v>0</v>
      </c>
      <c r="E18" s="2" t="s">
        <v>21</v>
      </c>
      <c r="F18" s="3" t="n">
        <v>0</v>
      </c>
      <c r="G18" s="3" t="n">
        <f aca="false">F18-B18</f>
        <v>0</v>
      </c>
    </row>
    <row r="19" customFormat="false" ht="15" hidden="false" customHeight="false" outlineLevel="0" collapsed="false">
      <c r="A19" s="2" t="s">
        <v>29</v>
      </c>
      <c r="B19" s="3" t="n">
        <v>219</v>
      </c>
      <c r="C19" s="3" t="n">
        <v>1.8</v>
      </c>
      <c r="D19" s="3" t="n">
        <f aca="false">C19-B19</f>
        <v>-217.2</v>
      </c>
      <c r="E19" s="2" t="s">
        <v>21</v>
      </c>
      <c r="F19" s="3" t="n">
        <v>1.8</v>
      </c>
      <c r="G19" s="3" t="n">
        <f aca="false">F19-B19</f>
        <v>-217.2</v>
      </c>
    </row>
    <row r="20" customFormat="false" ht="15" hidden="false" customHeight="false" outlineLevel="0" collapsed="false">
      <c r="A20" s="2" t="s">
        <v>30</v>
      </c>
      <c r="B20" s="3" t="n">
        <v>0</v>
      </c>
      <c r="C20" s="3" t="n">
        <v>0</v>
      </c>
      <c r="D20" s="3" t="n">
        <f aca="false">C20-B20</f>
        <v>0</v>
      </c>
      <c r="E20" s="2" t="s">
        <v>21</v>
      </c>
      <c r="F20" s="3" t="n">
        <v>0</v>
      </c>
      <c r="G20" s="3" t="n">
        <f aca="false">F20-B20</f>
        <v>0</v>
      </c>
    </row>
    <row r="21" customFormat="false" ht="15" hidden="false" customHeight="false" outlineLevel="0" collapsed="false">
      <c r="A21" s="2" t="s">
        <v>31</v>
      </c>
      <c r="B21" s="3" t="n">
        <v>2572</v>
      </c>
      <c r="C21" s="3" t="n">
        <v>2581.17</v>
      </c>
      <c r="D21" s="3" t="n">
        <f aca="false">C21-B21</f>
        <v>9.17000000000007</v>
      </c>
      <c r="E21" s="2" t="s">
        <v>32</v>
      </c>
      <c r="F21" s="3" t="n">
        <v>2581.17</v>
      </c>
      <c r="G21" s="3" t="n">
        <f aca="false">F21-B21</f>
        <v>9.17000000000007</v>
      </c>
    </row>
    <row r="22" customFormat="false" ht="15" hidden="false" customHeight="false" outlineLevel="0" collapsed="false">
      <c r="A22" s="2" t="s">
        <v>33</v>
      </c>
      <c r="B22" s="3" t="n">
        <v>642</v>
      </c>
      <c r="C22" s="3" t="n">
        <v>612.1</v>
      </c>
      <c r="D22" s="3" t="n">
        <f aca="false">C22-B22</f>
        <v>-29.9</v>
      </c>
      <c r="E22" s="2" t="s">
        <v>32</v>
      </c>
      <c r="F22" s="3" t="n">
        <v>612.1</v>
      </c>
      <c r="G22" s="3" t="n">
        <f aca="false">F22-B22</f>
        <v>-29.9</v>
      </c>
    </row>
    <row r="23" customFormat="false" ht="15" hidden="false" customHeight="false" outlineLevel="0" collapsed="false">
      <c r="A23" s="2" t="s">
        <v>34</v>
      </c>
      <c r="B23" s="3" t="n">
        <v>34</v>
      </c>
      <c r="C23" s="3" t="n">
        <v>283.78</v>
      </c>
      <c r="D23" s="3" t="n">
        <f aca="false">C23-B23</f>
        <v>249.78</v>
      </c>
      <c r="E23" s="2" t="s">
        <v>35</v>
      </c>
      <c r="F23" s="3" t="n">
        <v>283.78</v>
      </c>
      <c r="G23" s="3" t="n">
        <f aca="false">F23-B23</f>
        <v>249.78</v>
      </c>
    </row>
    <row r="24" customFormat="false" ht="15" hidden="false" customHeight="false" outlineLevel="0" collapsed="false">
      <c r="A24" s="2" t="s">
        <v>36</v>
      </c>
      <c r="B24" s="3" t="n">
        <v>5361</v>
      </c>
      <c r="C24" s="3" t="n">
        <v>3304.37</v>
      </c>
      <c r="D24" s="3" t="n">
        <f aca="false">C24-B24</f>
        <v>-2056.63</v>
      </c>
      <c r="E24" s="2" t="s">
        <v>37</v>
      </c>
      <c r="F24" s="3" t="n">
        <v>3304.37</v>
      </c>
      <c r="G24" s="3" t="n">
        <f aca="false">F24-B24</f>
        <v>-2056.63</v>
      </c>
    </row>
    <row r="25" customFormat="false" ht="15" hidden="false" customHeight="false" outlineLevel="0" collapsed="false">
      <c r="A25" s="2" t="s">
        <v>38</v>
      </c>
      <c r="B25" s="3" t="n">
        <v>3689</v>
      </c>
      <c r="C25" s="3" t="n">
        <v>5597.36</v>
      </c>
      <c r="D25" s="3" t="n">
        <f aca="false">C25-B25</f>
        <v>1908.36</v>
      </c>
      <c r="E25" s="2" t="s">
        <v>37</v>
      </c>
      <c r="F25" s="3" t="n">
        <v>5597.36</v>
      </c>
      <c r="G25" s="3" t="n">
        <f aca="false">F25-B25</f>
        <v>1908.36</v>
      </c>
    </row>
    <row r="26" customFormat="false" ht="15" hidden="false" customHeight="false" outlineLevel="0" collapsed="false">
      <c r="A26" s="2" t="s">
        <v>39</v>
      </c>
      <c r="B26" s="3" t="n">
        <v>177</v>
      </c>
      <c r="C26" s="3" t="n">
        <v>21.38</v>
      </c>
      <c r="D26" s="3" t="n">
        <f aca="false">C26-B26</f>
        <v>-155.62</v>
      </c>
      <c r="E26" s="2" t="s">
        <v>40</v>
      </c>
      <c r="F26" s="3" t="n">
        <v>21.38</v>
      </c>
      <c r="G26" s="3" t="n">
        <f aca="false">F26-B26</f>
        <v>-155.62</v>
      </c>
    </row>
    <row r="27" customFormat="false" ht="15" hidden="false" customHeight="false" outlineLevel="0" collapsed="false">
      <c r="A27" s="2" t="s">
        <v>41</v>
      </c>
      <c r="B27" s="3" t="n">
        <v>6039</v>
      </c>
      <c r="C27" s="3" t="n">
        <v>7605.32</v>
      </c>
      <c r="D27" s="3" t="n">
        <f aca="false">C27-B27</f>
        <v>1566.32</v>
      </c>
      <c r="E27" s="2" t="s">
        <v>42</v>
      </c>
      <c r="F27" s="3" t="n">
        <v>6000.3</v>
      </c>
      <c r="G27" s="3" t="n">
        <f aca="false">F27-B27</f>
        <v>-38.6999999999998</v>
      </c>
    </row>
    <row r="28" customFormat="false" ht="15" hidden="false" customHeight="false" outlineLevel="0" collapsed="false">
      <c r="A28" s="2" t="s">
        <v>43</v>
      </c>
      <c r="B28" s="3" t="n">
        <v>91</v>
      </c>
      <c r="C28" s="3" t="n">
        <v>651.88</v>
      </c>
      <c r="D28" s="3" t="n">
        <f aca="false">C28-B28</f>
        <v>560.88</v>
      </c>
      <c r="E28" s="2" t="s">
        <v>8</v>
      </c>
      <c r="F28" s="3" t="n">
        <v>39.77</v>
      </c>
      <c r="G28" s="3" t="n">
        <f aca="false">F28-B28</f>
        <v>-51.23</v>
      </c>
    </row>
    <row r="29" customFormat="false" ht="15" hidden="false" customHeight="false" outlineLevel="0" collapsed="false">
      <c r="A29" s="2" t="s">
        <v>44</v>
      </c>
      <c r="B29" s="3" t="n">
        <v>0</v>
      </c>
      <c r="C29" s="3" t="n">
        <v>0</v>
      </c>
      <c r="D29" s="3" t="n">
        <f aca="false">C29-B29</f>
        <v>0</v>
      </c>
      <c r="E29" s="2" t="s">
        <v>8</v>
      </c>
      <c r="F29" s="3" t="n">
        <v>0</v>
      </c>
      <c r="G29" s="3" t="n">
        <f aca="false">F29-B29</f>
        <v>0</v>
      </c>
    </row>
    <row r="30" customFormat="false" ht="15" hidden="false" customHeight="false" outlineLevel="0" collapsed="false">
      <c r="A30" s="4" t="s">
        <v>45</v>
      </c>
      <c r="B30" s="5" t="n">
        <f aca="false">SUM(B2:B29)</f>
        <v>23577</v>
      </c>
      <c r="C30" s="5" t="n">
        <f aca="false">SUM(C2:C29)</f>
        <v>23570.85</v>
      </c>
      <c r="D30" s="5" t="n">
        <f aca="false">SUM(D2:D29)</f>
        <v>-6.15000000000066</v>
      </c>
      <c r="E30" s="4"/>
      <c r="F30" s="5" t="n">
        <f aca="false">SUM(F2:F29)</f>
        <v>23543.52</v>
      </c>
      <c r="G30" s="5" t="n">
        <f aca="false">SUM(G2:G29)</f>
        <v>-33.4799999999999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 t="s">
        <v>46</v>
      </c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 t="s">
        <v>47</v>
      </c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 t="s">
        <v>48</v>
      </c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 t="s">
        <v>49</v>
      </c>
      <c r="B35" s="2"/>
      <c r="C35" s="2"/>
      <c r="D35" s="2"/>
      <c r="E35" s="2"/>
      <c r="F35" s="2"/>
      <c r="G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.05" hidden="false" customHeight="false" outlineLevel="0" collapsed="false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f aca="false">SUMPRODUCT((LEFT(ecarts_par_culture!$A$2:$A$29,2)="AG")*ecarts_par_culture!$B$2:$B$29)</f>
        <v>35</v>
      </c>
      <c r="C2" s="3" t="n">
        <f aca="false">SUMPRODUCT((LEFT(ecarts_par_culture!$A$2:$A$29,2)="AG")*ecarts_par_culture!$C$2:$C$29)</f>
        <v>256.14</v>
      </c>
      <c r="D2" s="3" t="n">
        <f aca="false">C2-B2</f>
        <v>221.14</v>
      </c>
      <c r="E2" s="2" t="s">
        <v>8</v>
      </c>
      <c r="F2" s="3" t="n">
        <f aca="false">SUMPRODUCT((LEFT(ecarts_par_culture!$A$2:$A$29,2)="AG")*ecarts_par_culture!$F$2:$F$29)</f>
        <v>8.31</v>
      </c>
      <c r="G2" s="3" t="n">
        <f aca="false">F2-B2</f>
        <v>-26.69</v>
      </c>
    </row>
    <row r="3" customFormat="false" ht="15" hidden="false" customHeight="false" outlineLevel="0" collapsed="false">
      <c r="A3" s="2" t="s">
        <v>51</v>
      </c>
      <c r="B3" s="3" t="n">
        <f aca="false">SUMPRODUCT((LEFT(ecarts_par_culture!$A$2:$A$29,2)="AN")*ecarts_par_culture!$B$2:$B$29)</f>
        <v>637</v>
      </c>
      <c r="C3" s="3" t="n">
        <f aca="false">SUMPRODUCT((LEFT(ecarts_par_culture!$A$2:$A$29,2)="AN")*ecarts_par_culture!$C$2:$C$29)</f>
        <v>568.54</v>
      </c>
      <c r="D3" s="3" t="n">
        <f aca="false">C3-B3</f>
        <v>-68.4599999999999</v>
      </c>
      <c r="E3" s="2" t="s">
        <v>10</v>
      </c>
      <c r="F3" s="3" t="n">
        <f aca="false">SUMPRODUCT((LEFT(ecarts_par_culture!$A$2:$A$29,2)="AN")*ecarts_par_culture!$F$2:$F$29)</f>
        <v>568.54</v>
      </c>
      <c r="G3" s="3" t="n">
        <f aca="false">F3-B3</f>
        <v>-68.4599999999999</v>
      </c>
    </row>
    <row r="4" customFormat="false" ht="15" hidden="false" customHeight="false" outlineLevel="0" collapsed="false">
      <c r="A4" s="2" t="s">
        <v>52</v>
      </c>
      <c r="B4" s="3" t="n">
        <f aca="false">SUMPRODUCT((LEFT(ecarts_par_culture!$A$2:$A$29,2)="BA")*ecarts_par_culture!$B$2:$B$29)</f>
        <v>937</v>
      </c>
      <c r="C4" s="3" t="n">
        <f aca="false">SUMPRODUCT((LEFT(ecarts_par_culture!$A$2:$A$29,2)="BA")*ecarts_par_culture!$C$2:$C$29)</f>
        <v>1584.04</v>
      </c>
      <c r="D4" s="3" t="n">
        <f aca="false">C4-B4</f>
        <v>647.04</v>
      </c>
      <c r="E4" s="2" t="s">
        <v>13</v>
      </c>
      <c r="F4" s="3" t="n">
        <f aca="false">SUMPRODUCT((LEFT(ecarts_par_culture!$A$2:$A$29,2)="BA")*ecarts_par_culture!$F$2:$F$29)</f>
        <v>1584.04</v>
      </c>
      <c r="G4" s="3" t="n">
        <f aca="false">F4-B4</f>
        <v>647.04</v>
      </c>
    </row>
    <row r="5" customFormat="false" ht="15" hidden="false" customHeight="false" outlineLevel="0" collapsed="false">
      <c r="A5" s="2" t="s">
        <v>53</v>
      </c>
      <c r="B5" s="3" t="n">
        <f aca="false">SUMPRODUCT((LEFT(ecarts_par_culture!$A$2:$A$29,2)="BC")*ecarts_par_culture!$B$2:$B$29)</f>
        <v>2833</v>
      </c>
      <c r="C5" s="3" t="n">
        <f aca="false">SUMPRODUCT((LEFT(ecarts_par_culture!$A$2:$A$29,2)="BC")*ecarts_par_culture!$C$2:$C$29)</f>
        <v>322</v>
      </c>
      <c r="D5" s="3" t="n">
        <f aca="false">C5-B5</f>
        <v>-2511</v>
      </c>
      <c r="E5" s="2" t="s">
        <v>18</v>
      </c>
      <c r="F5" s="3" t="n">
        <f aca="false">SUMPRODUCT((LEFT(ecarts_par_culture!$A$2:$A$29,2)="BC")*ecarts_par_culture!$F$2:$F$29)</f>
        <v>2766.11</v>
      </c>
      <c r="G5" s="3" t="n">
        <f aca="false">F5-B5</f>
        <v>-66.8899999999999</v>
      </c>
    </row>
    <row r="6" customFormat="false" ht="15" hidden="false" customHeight="false" outlineLevel="0" collapsed="false">
      <c r="A6" s="2" t="s">
        <v>54</v>
      </c>
      <c r="B6" s="3" t="n">
        <f aca="false">SUMPRODUCT((LEFT(ecarts_par_culture!$A$2:$A$29,2)="CS")*ecarts_par_culture!$B$2:$B$29)</f>
        <v>530</v>
      </c>
      <c r="C6" s="3" t="n">
        <f aca="false">SUMPRODUCT((LEFT(ecarts_par_culture!$A$2:$A$29,2)="CS")*ecarts_par_culture!$C$2:$C$29)</f>
        <v>182.77</v>
      </c>
      <c r="D6" s="3" t="n">
        <f aca="false">C6-B6</f>
        <v>-347.23</v>
      </c>
      <c r="E6" s="2" t="s">
        <v>21</v>
      </c>
      <c r="F6" s="3" t="n">
        <f aca="false">SUMPRODUCT((LEFT(ecarts_par_culture!$A$2:$A$29,2)="CS")*ecarts_par_culture!$F$2:$F$29)</f>
        <v>176.29</v>
      </c>
      <c r="G6" s="3" t="n">
        <f aca="false">F6-B6</f>
        <v>-353.71</v>
      </c>
    </row>
    <row r="7" customFormat="false" ht="15" hidden="false" customHeight="false" outlineLevel="0" collapsed="false">
      <c r="A7" s="2" t="s">
        <v>55</v>
      </c>
      <c r="B7" s="3" t="n">
        <f aca="false">SUMPRODUCT((LEFT(ecarts_par_culture!$A$2:$A$29,2)="IG")*ecarts_par_culture!$B$2:$B$29)</f>
        <v>3214</v>
      </c>
      <c r="C7" s="3" t="n">
        <f aca="false">SUMPRODUCT((LEFT(ecarts_par_culture!$A$2:$A$29,2)="IG")*ecarts_par_culture!$C$2:$C$29)</f>
        <v>3193.27</v>
      </c>
      <c r="D7" s="3" t="n">
        <f aca="false">C7-B7</f>
        <v>-20.73</v>
      </c>
      <c r="E7" s="2" t="s">
        <v>32</v>
      </c>
      <c r="F7" s="3" t="n">
        <f aca="false">SUMPRODUCT((LEFT(ecarts_par_culture!$A$2:$A$29,2)="IG")*ecarts_par_culture!$F$2:$F$29)</f>
        <v>3193.27</v>
      </c>
      <c r="G7" s="3" t="n">
        <f aca="false">F7-B7</f>
        <v>-20.73</v>
      </c>
    </row>
    <row r="8" customFormat="false" ht="15" hidden="false" customHeight="false" outlineLevel="0" collapsed="false">
      <c r="A8" s="2" t="s">
        <v>34</v>
      </c>
      <c r="B8" s="3" t="n">
        <f aca="false">SUMPRODUCT((LEFT(ecarts_par_culture!$A$2:$A$29,2)="JA")*ecarts_par_culture!$B$2:$B$29)</f>
        <v>34</v>
      </c>
      <c r="C8" s="3" t="n">
        <f aca="false">SUMPRODUCT((LEFT(ecarts_par_culture!$A$2:$A$29,2)="JA")*ecarts_par_culture!$C$2:$C$29)</f>
        <v>283.78</v>
      </c>
      <c r="D8" s="3" t="n">
        <f aca="false">C8-B8</f>
        <v>249.78</v>
      </c>
      <c r="E8" s="2" t="s">
        <v>35</v>
      </c>
      <c r="F8" s="3" t="n">
        <f aca="false">SUMPRODUCT((LEFT(ecarts_par_culture!$A$2:$A$29,2)="JA")*ecarts_par_culture!$F$2:$F$29)</f>
        <v>283.78</v>
      </c>
      <c r="G8" s="3" t="n">
        <f aca="false">F8-B8</f>
        <v>249.78</v>
      </c>
    </row>
    <row r="9" customFormat="false" ht="15" hidden="false" customHeight="false" outlineLevel="0" collapsed="false">
      <c r="A9" s="2" t="s">
        <v>56</v>
      </c>
      <c r="B9" s="3" t="n">
        <f aca="false">SUMPRODUCT((LEFT(ecarts_par_culture!$A$2:$A$29,2)="MA")*ecarts_par_culture!$B$2:$B$29)</f>
        <v>9050</v>
      </c>
      <c r="C9" s="3" t="n">
        <f aca="false">SUMPRODUCT((LEFT(ecarts_par_culture!$A$2:$A$29,2)="MA")*ecarts_par_culture!$C$2:$C$29)</f>
        <v>8901.73</v>
      </c>
      <c r="D9" s="3" t="n">
        <f aca="false">C9-B9</f>
        <v>-148.27</v>
      </c>
      <c r="E9" s="2" t="s">
        <v>37</v>
      </c>
      <c r="F9" s="3" t="n">
        <f aca="false">SUMPRODUCT((LEFT(ecarts_par_culture!$A$2:$A$29,2)="MA")*ecarts_par_culture!$F$2:$F$29)</f>
        <v>8901.73</v>
      </c>
      <c r="G9" s="3" t="n">
        <f aca="false">F9-B9</f>
        <v>-148.27</v>
      </c>
    </row>
    <row r="10" customFormat="false" ht="15" hidden="false" customHeight="false" outlineLevel="0" collapsed="false">
      <c r="A10" s="2" t="s">
        <v>39</v>
      </c>
      <c r="B10" s="3" t="n">
        <f aca="false">SUMPRODUCT((LEFT(ecarts_par_culture!$A$2:$A$29,2)="ME")*ecarts_par_culture!$B$2:$B$29)</f>
        <v>177</v>
      </c>
      <c r="C10" s="3" t="n">
        <f aca="false">SUMPRODUCT((LEFT(ecarts_par_culture!$A$2:$A$29,2)="ME")*ecarts_par_culture!$C$2:$C$29)</f>
        <v>21.38</v>
      </c>
      <c r="D10" s="3" t="n">
        <f aca="false">C10-B10</f>
        <v>-155.62</v>
      </c>
      <c r="E10" s="2" t="s">
        <v>40</v>
      </c>
      <c r="F10" s="3" t="n">
        <f aca="false">SUMPRODUCT((LEFT(ecarts_par_culture!$A$2:$A$29,2)="ME")*ecarts_par_culture!$F$2:$F$29)</f>
        <v>21.38</v>
      </c>
      <c r="G10" s="3" t="n">
        <f aca="false">F10-B10</f>
        <v>-155.62</v>
      </c>
    </row>
    <row r="11" customFormat="false" ht="15" hidden="false" customHeight="false" outlineLevel="0" collapsed="false">
      <c r="A11" s="2" t="s">
        <v>57</v>
      </c>
      <c r="B11" s="3" t="n">
        <f aca="false">SUMPRODUCT((LEFT(ecarts_par_culture!$A$2:$A$29,2)="PN")*ecarts_par_culture!$B$2:$B$29)</f>
        <v>6039</v>
      </c>
      <c r="C11" s="3" t="n">
        <f aca="false">SUMPRODUCT((LEFT(ecarts_par_culture!$A$2:$A$29,2)="PN")*ecarts_par_culture!$C$2:$C$29)</f>
        <v>7605.32</v>
      </c>
      <c r="D11" s="3" t="n">
        <f aca="false">C11-B11</f>
        <v>1566.32</v>
      </c>
      <c r="E11" s="2" t="s">
        <v>42</v>
      </c>
      <c r="F11" s="3" t="n">
        <f aca="false">SUMPRODUCT((LEFT(ecarts_par_culture!$A$2:$A$29,2)="PN")*ecarts_par_culture!$F$2:$F$29)</f>
        <v>6000.3</v>
      </c>
      <c r="G11" s="3" t="n">
        <f aca="false">F11-B11</f>
        <v>-38.6999999999998</v>
      </c>
    </row>
    <row r="12" customFormat="false" ht="15" hidden="false" customHeight="false" outlineLevel="0" collapsed="false">
      <c r="A12" s="2" t="s">
        <v>58</v>
      </c>
      <c r="B12" s="3" t="n">
        <f aca="false">SUMPRODUCT((LEFT(ecarts_par_culture!$A$2:$A$29,2)="VE")*ecarts_par_culture!$B$2:$B$29)</f>
        <v>91</v>
      </c>
      <c r="C12" s="3" t="n">
        <f aca="false">SUMPRODUCT((LEFT(ecarts_par_culture!$A$2:$A$29,2)="VE")*ecarts_par_culture!$C$2:$C$29)</f>
        <v>651.88</v>
      </c>
      <c r="D12" s="3" t="n">
        <f aca="false">C12-B12</f>
        <v>560.88</v>
      </c>
      <c r="E12" s="2" t="s">
        <v>8</v>
      </c>
      <c r="F12" s="3" t="n">
        <f aca="false">SUMPRODUCT((LEFT(ecarts_par_culture!$A$2:$A$29,2)="VE")*ecarts_par_culture!$F$2:$F$29)</f>
        <v>39.77</v>
      </c>
      <c r="G12" s="3" t="n">
        <f aca="false">F12-B12</f>
        <v>-51.23</v>
      </c>
    </row>
    <row r="13" customFormat="false" ht="15" hidden="false" customHeight="false" outlineLevel="0" collapsed="false">
      <c r="A13" s="4" t="s">
        <v>45</v>
      </c>
      <c r="B13" s="5" t="n">
        <f aca="false">SUM(B2:B12)</f>
        <v>23577</v>
      </c>
      <c r="C13" s="5" t="n">
        <f aca="false">SUM(C2:C12)</f>
        <v>23570.85</v>
      </c>
      <c r="D13" s="5" t="n">
        <f aca="false">SUM(D2:D12)</f>
        <v>-6.15000000000077</v>
      </c>
      <c r="E13" s="4"/>
      <c r="F13" s="5" t="n">
        <f aca="false">SUM(F2:F12)</f>
        <v>23543.52</v>
      </c>
      <c r="G13" s="5" t="n">
        <f aca="false">SUM(G2:G12)</f>
        <v>-33.4800000000001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2026-10-08T15:19:11Z</dcterms:created>
  <dc:creator>openpyxl</dc:creator>
  <dc:description/>
  <dc:language>fr-FR</dc:language>
  <cp:lastModifiedBy/>
  <dcterms:modified xsi:type="dcterms:W3CDTF">2026-10-08T15:19:11Z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